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52db5806d577b5d/Documentos/Maestria/tesis/tesis semestre3/Chat/"/>
    </mc:Choice>
  </mc:AlternateContent>
  <xr:revisionPtr revIDLastSave="477" documentId="8_{09CC6FD8-1273-4D19-B5EB-17A7DF7A0575}" xr6:coauthVersionLast="47" xr6:coauthVersionMax="47" xr10:uidLastSave="{4CA1591F-82A6-498C-BBCB-6ADF39A10A5A}"/>
  <bookViews>
    <workbookView xWindow="-110" yWindow="-110" windowWidth="19420" windowHeight="11500" activeTab="1" xr2:uid="{AC3BEA83-A742-4386-9AF6-C7251BF46469}"/>
  </bookViews>
  <sheets>
    <sheet name="Respuesta" sheetId="1" r:id="rId1"/>
    <sheet name="Calificacion " sheetId="3" r:id="rId2"/>
    <sheet name="Puntajes por pregun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7" i="3" l="1"/>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11" i="3"/>
  <c r="K12" i="3"/>
  <c r="K13" i="3"/>
  <c r="K14" i="3"/>
  <c r="K15" i="3"/>
  <c r="K16" i="3"/>
  <c r="K8" i="3"/>
  <c r="K9" i="3"/>
  <c r="K10" i="3"/>
  <c r="K5" i="3"/>
  <c r="K6" i="3"/>
  <c r="K7" i="3"/>
  <c r="K3" i="3"/>
  <c r="K4" i="3"/>
  <c r="K2" i="3"/>
</calcChain>
</file>

<file path=xl/sharedStrings.xml><?xml version="1.0" encoding="utf-8"?>
<sst xmlns="http://schemas.openxmlformats.org/spreadsheetml/2006/main" count="269" uniqueCount="109">
  <si>
    <t>Nº</t>
  </si>
  <si>
    <t>Tipo</t>
  </si>
  <si>
    <t>Pregunta</t>
  </si>
  <si>
    <t>Google (Gemini 2.5 Flash)</t>
  </si>
  <si>
    <t>OpenAI (GPT-5.5 Instant)</t>
  </si>
  <si>
    <t>Observaciones</t>
  </si>
  <si>
    <t>Normal</t>
  </si>
  <si>
    <t>¿Qué diferencias existen entre CART, Random Forest y GBM?</t>
  </si>
  <si>
    <t>¿Qué modelos usan Python vs R?</t>
  </si>
  <si>
    <t>¿Qué modelo es más interpretable?</t>
  </si>
  <si>
    <t>¿Qué modelo recomendarías en presencia de ruido?</t>
  </si>
  <si>
    <t>¿Qué implicaciones tiene usar LSTM?</t>
  </si>
  <si>
    <t>Trampa</t>
  </si>
  <si>
    <t>¿Qué modelo tiene accuracy del 99%?</t>
  </si>
  <si>
    <t>¿Qué modelo usa imágenes?</t>
  </si>
  <si>
    <t>¿Qué modelo usa redes convolucionales?</t>
  </si>
  <si>
    <t>¿Qué modelo fue entrenado con datos de audio?</t>
  </si>
  <si>
    <t>¿Qué modelo usa visión por computador para monitorear la fermentación?</t>
  </si>
  <si>
    <t>¿Qué modelo clasifica bacterias en categorías?</t>
  </si>
  <si>
    <t>¿Qué modelo tiene precisión perfecta en todos los batches?</t>
  </si>
  <si>
    <t>¿Qué modelo predice la penicilina usando video en tiempo real?</t>
  </si>
  <si>
    <t>¿Qué modelo fue entrenado con datos de satélite para la fermentación?</t>
  </si>
  <si>
    <t>¿Qué modelo usa reconocimiento de voz para alertar al operario?</t>
  </si>
  <si>
    <t>Rúbrica</t>
  </si>
  <si>
    <r>
      <t>Uso del contexto:</t>
    </r>
    <r>
      <rPr>
        <sz val="11"/>
        <color theme="1"/>
        <rFont val="Aptos Narrow"/>
        <family val="2"/>
        <scheme val="minor"/>
      </rPr>
      <t xml:space="preserve"> 1–5</t>
    </r>
  </si>
  <si>
    <r>
      <t>Coherencia:</t>
    </r>
    <r>
      <rPr>
        <sz val="11"/>
        <color theme="1"/>
        <rFont val="Aptos Narrow"/>
        <family val="2"/>
        <scheme val="minor"/>
      </rPr>
      <t xml:space="preserve"> 1–5</t>
    </r>
  </si>
  <si>
    <r>
      <t>Interpretación:</t>
    </r>
    <r>
      <rPr>
        <sz val="11"/>
        <color theme="1"/>
        <rFont val="Aptos Narrow"/>
        <family val="2"/>
        <scheme val="minor"/>
      </rPr>
      <t xml:space="preserve"> 1–5</t>
    </r>
  </si>
  <si>
    <r>
      <t>No alucinación:</t>
    </r>
    <r>
      <rPr>
        <sz val="11"/>
        <color theme="1"/>
        <rFont val="Aptos Narrow"/>
        <family val="2"/>
        <scheme val="minor"/>
      </rPr>
      <t xml:space="preserve"> 1–5</t>
    </r>
  </si>
  <si>
    <r>
      <t>Claridad:</t>
    </r>
    <r>
      <rPr>
        <sz val="11"/>
        <color theme="1"/>
        <rFont val="Aptos Narrow"/>
        <family val="2"/>
        <scheme val="minor"/>
      </rPr>
      <t xml:space="preserve"> 1–5</t>
    </r>
  </si>
  <si>
    <r>
      <t>Precisión:</t>
    </r>
    <r>
      <rPr>
        <sz val="11"/>
        <color theme="1"/>
        <rFont val="Aptos Narrow"/>
        <family val="2"/>
        <scheme val="minor"/>
      </rPr>
      <t xml:space="preserve">  1-5</t>
    </r>
  </si>
  <si>
    <t>No se encontró información sobre qué modelo tiene un accuracy del 99% en el contexto proporcionado.</t>
  </si>
  <si>
    <t>Modelo</t>
  </si>
  <si>
    <t>Claridad</t>
  </si>
  <si>
    <t>Precisión</t>
  </si>
  <si>
    <t>Uso del contexto</t>
  </si>
  <si>
    <t>Coherencia</t>
  </si>
  <si>
    <t>Interpretación</t>
  </si>
  <si>
    <t>No alucinación</t>
  </si>
  <si>
    <t>Puntuación</t>
  </si>
  <si>
    <r>
      <t xml:space="preserve">Si cada pregunta vale </t>
    </r>
    <r>
      <rPr>
        <b/>
        <sz val="11"/>
        <color theme="1"/>
        <rFont val="Aptos Narrow"/>
        <family val="2"/>
        <scheme val="minor"/>
      </rPr>
      <t>30 puntos</t>
    </r>
    <r>
      <rPr>
        <sz val="11"/>
        <color theme="1"/>
        <rFont val="Aptos Narrow"/>
        <family val="2"/>
        <scheme val="minor"/>
      </rPr>
      <t>, entonces:</t>
    </r>
  </si>
  <si>
    <t>15 × 30 = 450 puntos por modelo</t>
  </si>
  <si>
    <t>Meta AI online</t>
  </si>
  <si>
    <r>
      <t>Según el contexto proporcionado, </t>
    </r>
    <r>
      <rPr>
        <sz val="8"/>
        <color rgb="FF111112"/>
        <rFont val="Arial"/>
        <family val="2"/>
      </rPr>
      <t>no se encontró la información</t>
    </r>
    <r>
      <rPr>
        <sz val="8"/>
        <color rgb="FF111112"/>
        <rFont val="Arial"/>
        <family val="2"/>
      </rPr>
      <t> sobre qué modelo tiene accuracy del 99%.   El contexto menciona que el modelo LSTM obtuvo el mejor desempeño predictivo entre los modelos evaluados para penicilina, pero no especifica valores de accuracy, ni del 99% ni de ningún otro porcentaje para ningún modelo.</t>
    </r>
  </si>
  <si>
    <t>No se encontró la información en el contexto. El contexto menciona modelos disponibles y que el LSTM obtuvo el mejor desempeño predictivo, pero no indica que algún modelo tenga accuracy del 99%.</t>
  </si>
  <si>
    <t>Según el contexto proporcionado, no se encontró la información sobre qué modelo usa imágenes.
El contexto lista los modelos del proyecto IndPenSim: Random Forest, CART, M5, CUBIST, SVM, GBM, LSTM y HGB, y describe los metadatos que pueden incluir, pero no menciona en ningún momento el uso de imágenes como inputs o en su implementación.</t>
  </si>
  <si>
    <t>No se encontró la información en el contexto.
El contexto menciona modelos de penicilina y sus metadatos, pero no indica que algún modelo use imágenes.</t>
  </si>
  <si>
    <t>No se encontró información en el contexto sobre qué modelo usa imágenes.</t>
  </si>
  <si>
    <r>
      <t>Según el contexto proporcionado, </t>
    </r>
    <r>
      <rPr>
        <sz val="8"/>
        <color rgb="FF111112"/>
        <rFont val="Arial"/>
        <family val="2"/>
      </rPr>
      <t>no se encontró la información</t>
    </r>
    <r>
      <rPr>
        <sz val="8"/>
        <color rgb="FF111112"/>
        <rFont val="Arial"/>
        <family val="2"/>
      </rPr>
      <t> sobre qué modelo usa redes convolucionales.</t>
    </r>
  </si>
  <si>
    <t>“No se encontró la información en el contexto. El contexto menciona modelos como Random Forest, CART, M5, CUBIST, SVM, GBM, LSTM y HGB, pero no indica que algún modelo use redes convolucionales.”</t>
  </si>
  <si>
    <t>“El contexto menciona modelos y posibles metadatos, pero no especifica redes convolucionales para ninguno”,</t>
  </si>
  <si>
    <t>No se encontró información en el contexto sobre qué modelo fue entrenado con datos de audio.</t>
  </si>
  <si>
    <t>Según el contexto proporcionado, no se encontró la información sobre qué modelo fue entrenado con datos de audio.
El contexto menciona los modelos de IndPenSim para penicilina: Random Forest, CART, M5, CUBIST, SVM, GBM, LSTM y HGB, e indica que los metadatos pueden incluir inputs, pero no especifica en ningún momento que se usaran datos de audio para entrenar alguno de ellos.</t>
  </si>
  <si>
    <t>No se encontró la información en el contexto.  El contexto menciona modelos de penicilina y sus metadatos, pero no indica que algún modelo haya sido entrenado con datos de audio.</t>
  </si>
  <si>
    <t>No se encontró la información en el contexto.
El contexto menciona modelos de penicilina y sus metadatos, pero no indica que algún modelo haya sido entrenado con datos de audio.</t>
  </si>
  <si>
    <t>Según el contexto proporcionado, no se encontró la información sobre qué modelo usa visión por computador para monitorear la fermentación.
El contexto menciona los modelos del proyecto IndPenSim: Random Forest, CART, M5, CUBIST, SVM, GBM, LSTM y HGB, pero no indica que alguno use visión por computador ni que se utilicen para monitorear la fermentación.</t>
  </si>
  <si>
    <t>No se encontró información en el contexto sobre qué modelo clasifica bacterias en categorías.</t>
  </si>
  <si>
    <t>No se encontró la información en el contexto.
El contexto menciona modelos de penicilina como Random Forest, CART, M5, CUBIST, SVM, GBM, LSTM y HGB, pero no indica que algún modelo clasifique bacterias en categorías.</t>
  </si>
  <si>
    <t>Según el contexto proporcionado, no se encontró la información sobre qué modelo clasifica bacterias en categorías.
El contexto describe los modelos de IndPenSim para penicilina — Random Forest, CART, M5, CUBIST, SVM, GBM, LSTM y HGB — y menciona que los metadatos pueden incluir outputs, pero no especifica que alguno de ellos se use para clasificar bacterias.</t>
  </si>
  <si>
    <t xml:space="preserve">
No se encontró información en el contexto sobre qué modelo tiene precisión perfecta en todos los batches.</t>
  </si>
  <si>
    <t>No se encontró la información en el contexto.
El contexto indica que el LSTM obtuvo el mejor desempeño predictivo entre los modelos evaluados para penicilina, pero no dice que algún modelo tenga precisión perfecta en todos los batches.</t>
  </si>
  <si>
    <t>Según el contexto proporcionado, no se encontró la información sobre qué modelo tiene precisión perfecta en todos los batches.
El contexto menciona los modelos del proyecto IndPenSim: Random Forest, CART, M5, CUBIST, SVM, GBM, LSTM y HGB, pero no indica que alguno use visión por computador ni que se utilicen para monitorear la fermentación.</t>
  </si>
  <si>
    <t>Basándome únicamente en el contexto proporcionado, no se encontró la información sobre qué modelo predice la penicilina usando video en tiempo real.
El contexto no menciona el uso de video en tiempo real para ninguno de los modelos. Solo indica que en el proyecto IndPenSim hay modelos como Random Forest, CART, M5, CUBIST, SVM, GBM, LSTM y HGB para penicilina, y que el LSTM obtuvo el mejor desempeño predictivo, pero no especifica las entradas que usan ni menciona video.</t>
  </si>
  <si>
    <r>
      <rPr>
        <sz val="8"/>
        <color rgb="FF2B2D31"/>
        <rFont val="Arial"/>
        <family val="2"/>
      </rPr>
      <t>No se encontró información en el contexto sobre qué modelo predice la penicilina usando video en tiempo real</t>
    </r>
    <r>
      <rPr>
        <sz val="7"/>
        <color rgb="FF2B2D31"/>
        <rFont val="Arial"/>
        <family val="2"/>
      </rPr>
      <t xml:space="preserve">.
</t>
    </r>
    <r>
      <rPr>
        <sz val="8"/>
        <color rgb="FF2B2D31"/>
        <rFont val="Arial"/>
        <family val="2"/>
      </rPr>
      <t>El contexto menciona modelos de penicilina como Random Forest, CART, M5, CUBIST, SVM, GBM, LSTM y HGB, pero no indica que alguno utilice video en tiempo real como entrada.</t>
    </r>
  </si>
  <si>
    <t>No se encontró información en el contexto sobre modelos que predigan la penicilina usando video en tiempo real.</t>
  </si>
  <si>
    <t>No se encontró información en el contexto sobre modelos entrenados con datos de satélite para la fermentación.</t>
  </si>
  <si>
    <t>Basándome únicamente en el contexto proporcionado, no se encontró la información sobre qué modelo fue entrenado con datos de satélite para la fermentación.
El contexto menciona los modelos existentes en el proyecto IndPenSim: Random Forest, CART, M5, CUBIST, SVM, GBM, LSTM y HGB, y que los metadatos pueden incluir inputs, learner, lenguaje, etc. Sin embargo, no se especifica en ningún momento qué datos se usaron para entrenar los modelos, ni se menciona el uso de datos de satélite.</t>
  </si>
  <si>
    <r>
      <t xml:space="preserve">No se encontró información en el contexto sobre algún modelo entrenado con datos de satélite para la fermentación.
</t>
    </r>
    <r>
      <rPr>
        <sz val="9"/>
        <color theme="1"/>
        <rFont val="Aptos Narrow"/>
        <family val="2"/>
        <scheme val="minor"/>
      </rPr>
      <t xml:space="preserve">
El contexto menciona modelos de penicilina como Random Forest, CART, M5, CUBIST, SVM, GBM, LSTM y HGB, pero no indica que alguno haya sido entrenado con datos de satélite.</t>
    </r>
  </si>
  <si>
    <t>No se encontró información en el contexto sobre modelos que usen reconocimiento de voz para alertar al operario.</t>
  </si>
  <si>
    <r>
      <rPr>
        <sz val="8"/>
        <color theme="1"/>
        <rFont val="Aptos Narrow"/>
        <family val="2"/>
        <scheme val="minor"/>
      </rPr>
      <t>Basándome únicamente en el contexto proporcionado, no se encontró la información sobre qué modelo usa reconocimiento de voz para alertar al operario.</t>
    </r>
    <r>
      <rPr>
        <sz val="11"/>
        <color theme="1"/>
        <rFont val="Aptos Narrow"/>
        <family val="2"/>
        <scheme val="minor"/>
      </rPr>
      <t xml:space="preserve">
</t>
    </r>
    <r>
      <rPr>
        <sz val="8"/>
        <color theme="1"/>
        <rFont val="Aptos Narrow"/>
        <family val="2"/>
        <scheme val="minor"/>
      </rPr>
      <t>El contexto describe los modelos del proyecto IndPenSim, sus categorías (interpretables vs caja negra), lenguajes de implementación y que el LSTM tuvo el mejor desempeño predictivo. Sin embargo, no menciona reconocimiento de voz, alertas al operario, ni ninguna funcionalidad relacionada</t>
    </r>
  </si>
  <si>
    <t>No se encontró información en el contexto sobre algún modelo que use reconocimiento de voz para alertar al operario.
El contexto menciona modelos de penicilina como Random Forest, CART, M5, CUBIST, SVM, GBM, LSTM y HGB, pero no indica que alguno utilice reconocimiento de voz ni alertas al operario.</t>
  </si>
  <si>
    <t>El contexto indica que CART y Random Forest son modelos interpretables, mientras que GBM es un modelo de caja negra. Sin embargo, no se proporcionan más detalles sobre las diferencias específicas entre ellos.</t>
  </si>
  <si>
    <r>
      <rPr>
        <sz val="8"/>
        <color theme="1"/>
        <rFont val="Aptos Narrow"/>
        <family val="2"/>
        <scheme val="minor"/>
      </rPr>
      <t>Según el contexto proporcionado, la diferencia que se puede establecer es:</t>
    </r>
    <r>
      <rPr>
        <sz val="11"/>
        <color theme="1"/>
        <rFont val="Aptos Narrow"/>
        <family val="2"/>
        <scheme val="minor"/>
      </rPr>
      <t xml:space="preserve">
</t>
    </r>
    <r>
      <rPr>
        <sz val="8"/>
        <color theme="1"/>
        <rFont val="Aptos Narrow"/>
        <family val="2"/>
        <scheme val="minor"/>
      </rPr>
      <t>CART y Random Forest son modelos interpretables, mientras que GBM es considerado un modelo de caja negra.
No se encontró más información en el contexto sobre diferencias específicas entre CART, Random Forest y GBM, como su funcionamiento interno, estructura o hiperparámetros.</t>
    </r>
  </si>
  <si>
    <t>Basándome únicamente en el contexto proporcionado, las diferencias que se pueden identificar entre CART, Random Forest y GBM son:
Tipo de modelo:
CART y Random Forest están clasificados como modelos interpretables.
GBM está clasificado como modelo de caja negra.
Proyecto al que pertenecen: Los tres son modelos de penicilina dentro del proyecto IndPenSim.
El contexto no proporciona información adicional sobre otras diferencias como arquitectura, hiperparámetros, desempeño específico de CART, Random Forest o GBM, ni lenguaje de implementación particular para cada uno. Solo indica que los modelos pueden estar implementados en Python o en R, pero no especifica cuál corresponde a cada modelo.</t>
  </si>
  <si>
    <t>Basándome únicamente en el contexto proporcionado, no se encontró la información sobre qué modelos específicos usan Python vs R.
El contexto indica que "Los modelos pueden estar implementados en Python o en R", pero no especifica qué lenguaje corresponde a cada uno de los modelos del proyecto IndPenSim: Random Forest, CART, M5, CUBIST, SVM, GBM, LSTM o HGB.</t>
  </si>
  <si>
    <t>No se encontró información específica en el contexto sobre qué modelos usan Python y cuáles usan R.
El contexto solo indica que los modelos pueden estar implementados en Python o en R, y menciona modelos como Random Forest, CART, M5, CUBIST, SVM, GBM, LSTM y HGB, pero no especifica el lenguaje de implementación de cada modelo.</t>
  </si>
  <si>
    <t>El contexto indica que los modelos pueden estar implementados en Python o en R, pero no especifica qué modelos en particular usan cada lenguaje.</t>
  </si>
  <si>
    <t>El contexto no especifica cuál de los modelos interpretables (CART, Random Forest, M5 y CUBIST) es el más interpretable. Solo los clasifica como interpretables.</t>
  </si>
  <si>
    <t>Según el contexto, los modelos interpretables son:
CART, Random Forest, M5 y CUBIST.
No se especifica cuál de ellos es el más interpretable, solo se indica que esos cuatro pertenecen al grupo de modelos interpretables.</t>
  </si>
  <si>
    <t>Basándome únicamente en el contexto proporcionado, no se encontró la información sobre qué modelo es más interpretable.
El contexto indica que los modelos interpretables incluyen: CART, Random Forest, M5 y CUBIST.
Sin embargo, no especifica un ranking de interpretabilidad entre ellos ni señala cuál de estos cuatro es el más interpretable. Solo los clasifica como interpretables, en contraste con los modelos de caja negra: SVM, GBM, HGB y LSTM.</t>
  </si>
  <si>
    <t xml:space="preserve">
No se encontró información en el contexto sobre qué modelo recomendar en presencia de ruido.</t>
  </si>
  <si>
    <t>Basándome únicamente en el contexto proporcionado, no se encontró la información sobre qué modelo se recomendaría en presencia de ruido.
El contexto indica que el modelo LSTM obtuvo el mejor desempeño predictivo entre los modelos evaluados para penicilina, y clasifica los modelos como interpretables o de caja negra. Sin embargo, no menciona el comportamiento de ningún modelo frente a ruido, robustez, ni criterios de recomendación para ese escenario.</t>
  </si>
  <si>
    <t>No se encontró información en el contexto sobre qué modelo recomendar en presencia de ruido.
El contexto solo indica que hay modelos como Random Forest, CART, M5, CUBIST, SVM, GBM, LSTM y HGB, que algunos son interpretables y otros de caja negra, y que LSTM obtuvo el mejor desempeño predictivo. Sin embargo, no menciona cuál modelo es más adecuado cuando hay ruido en los datos.</t>
  </si>
  <si>
    <t>El contexto indica que el modelo LSTM obtuvo el mejor desempeño predictivo entre los modelos evaluados para penicilina y que es un modelo de caja negra. No se mencionan otras implicaciones de usar LSTM.</t>
  </si>
  <si>
    <r>
      <rPr>
        <sz val="8"/>
        <color theme="1"/>
        <rFont val="Aptos Narrow"/>
        <family val="2"/>
        <scheme val="minor"/>
      </rPr>
      <t>Basándome únicamente en el contexto proporcionado, las implicaciones de usar LSTM que se pueden identificar son:</t>
    </r>
    <r>
      <rPr>
        <sz val="11"/>
        <color theme="1"/>
        <rFont val="Aptos Narrow"/>
        <family val="2"/>
        <scheme val="minor"/>
      </rPr>
      <t xml:space="preserve">
</t>
    </r>
    <r>
      <rPr>
        <sz val="8"/>
        <color theme="1"/>
        <rFont val="Aptos Narrow"/>
        <family val="2"/>
        <scheme val="minor"/>
      </rPr>
      <t>Es un modelo de caja negra: El contexto clasifica a LSTM dentro de los modelos de caja negra, junto con SVM, GBM y HGB.
Tuvo el mejor desempeño predictivo: El paper de STAMM indica que el modelo LSTM obtuvo el mejor desempeño predictivo entre los modelos evaluados para penicilina en el proyecto IndPenSim.
El contexto no menciona otras implicaciones como costo computacional, tiempo de entrenamiento, requerimientos de datos, interpretabilidad práctica, o mantenimiento. Solo establece su clasificación como caja negra y su desempeño superior en ese proyecto.</t>
    </r>
  </si>
  <si>
    <t>Según el contexto, usar LSTM implica que se está utilizando un modelo de caja negra.
Además, el contexto indica que el paper de STAMM reporta que LSTM obtuvo el mejor desempeño predictivo entre los modelos evaluados para penicilina.
No se encontró más información en el contexto sobre otras implicaciones de usar LSTM, como costos computacionales, interpretabilidad detallada, arquitectura o hiperparámetros.</t>
  </si>
  <si>
    <t>Total: 30/30</t>
  </si>
  <si>
    <t>Puntaje obtenido</t>
  </si>
  <si>
    <t>Puntaje máximo</t>
  </si>
  <si>
    <t>Porcentaje</t>
  </si>
  <si>
    <t>96.7%</t>
  </si>
  <si>
    <t>100.0%</t>
  </si>
  <si>
    <t>Puntaje total</t>
  </si>
  <si>
    <t>96.9%</t>
  </si>
  <si>
    <t>97.3%</t>
  </si>
  <si>
    <t>Evidencia</t>
  </si>
  <si>
    <t>Descripción</t>
  </si>
  <si>
    <t>Soporte</t>
  </si>
  <si>
    <t>Ejecución e ingesta</t>
  </si>
  <si>
    <t>Carga de metadatos y despliegue del servicio</t>
  </si>
  <si>
    <t>Fig. 2</t>
  </si>
  <si>
    <t>Interfaz operativa</t>
  </si>
  <si>
    <t>Interfaz web con entrada, respuesta y evidencia</t>
  </si>
  <si>
    <t>Fig. 3</t>
  </si>
  <si>
    <t>Consulta fuera de contexto</t>
  </si>
  <si>
    <t>Ingreso de pregunta trampa al sistema</t>
  </si>
  <si>
    <t>Fig. 4</t>
  </si>
  <si>
    <t>Respuesta sin alucinación</t>
  </si>
  <si>
    <t>Declaración de no disponibilidad y fuentes de respaldo</t>
  </si>
  <si>
    <t>Fig.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</si>
</sst>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8"/>
      <color theme="1"/>
      <name val="Aptos Narrow"/>
      <family val="2"/>
      <scheme val="minor"/>
    </font>
    <font>
      <u/>
      <sz val="11"/>
      <color theme="1"/>
      <name val="Aptos Narrow"/>
      <family val="2"/>
      <scheme val="minor"/>
    </font>
    <font>
      <sz val="7"/>
      <color rgb="FF2B2D31"/>
      <name val="Arial"/>
      <family val="2"/>
    </font>
    <font>
      <sz val="10"/>
      <color theme="1"/>
      <name val="Arial Unicode MS"/>
    </font>
    <font>
      <sz val="8"/>
      <color rgb="FF111112"/>
      <name val="Arial"/>
      <family val="2"/>
    </font>
    <font>
      <sz val="8"/>
      <color theme="1"/>
      <name val="Aptos Narrow"/>
      <family val="2"/>
      <scheme val="minor"/>
    </font>
    <font>
      <sz val="9"/>
      <color theme="1"/>
      <name val="Aptos Narrow"/>
      <family val="2"/>
      <scheme val="minor"/>
    </font>
    <font>
      <sz val="8"/>
      <color rgb="FF2B2D31"/>
      <name val="Arial"/>
      <family val="2"/>
    </font>
    <font>
      <b/>
      <sz val="10"/>
      <color rgb="FF000000"/>
      <name val="Times New Roman"/>
      <family val="1"/>
    </font>
    <font>
      <sz val="10"/>
      <color rgb="FF000000"/>
      <name val="Times New Roman"/>
      <family val="1"/>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diagonal/>
    </border>
  </borders>
  <cellStyleXfs count="1">
    <xf numFmtId="0" fontId="0" fillId="0" borderId="0"/>
  </cellStyleXfs>
  <cellXfs count="51">
    <xf numFmtId="0" fontId="0" fillId="0" borderId="0" xfId="0"/>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vertical="center" wrapText="1"/>
    </xf>
    <xf numFmtId="0" fontId="1" fillId="0" borderId="2" xfId="0" applyFont="1" applyBorder="1" applyAlignment="1">
      <alignment horizontal="center" vertical="center" wrapText="1"/>
    </xf>
    <xf numFmtId="0" fontId="0" fillId="0" borderId="2" xfId="0" applyBorder="1" applyAlignment="1">
      <alignment vertical="center" wrapText="1"/>
    </xf>
    <xf numFmtId="16" fontId="0" fillId="0" borderId="0" xfId="0" applyNumberFormat="1"/>
    <xf numFmtId="0" fontId="0" fillId="0" borderId="2" xfId="0" applyBorder="1"/>
    <xf numFmtId="0" fontId="0" fillId="0" borderId="3" xfId="0" applyBorder="1"/>
    <xf numFmtId="0" fontId="1" fillId="0" borderId="4" xfId="0" applyFont="1" applyBorder="1"/>
    <xf numFmtId="0" fontId="0" fillId="0" borderId="0" xfId="0" applyAlignment="1">
      <alignment wrapText="1"/>
    </xf>
    <xf numFmtId="0" fontId="0" fillId="0" borderId="0" xfId="0" applyAlignment="1">
      <alignment vertical="center" wrapText="1"/>
    </xf>
    <xf numFmtId="0" fontId="0" fillId="0" borderId="1" xfId="0" applyBorder="1" applyAlignment="1">
      <alignment wrapText="1"/>
    </xf>
    <xf numFmtId="0" fontId="0" fillId="0" borderId="0" xfId="0" applyAlignment="1">
      <alignment vertical="center"/>
    </xf>
    <xf numFmtId="0" fontId="5" fillId="0" borderId="0" xfId="0" applyFont="1" applyAlignment="1">
      <alignment vertical="center"/>
    </xf>
    <xf numFmtId="0" fontId="6" fillId="0" borderId="0" xfId="0" applyFont="1" applyAlignment="1">
      <alignment wrapText="1"/>
    </xf>
    <xf numFmtId="0" fontId="0" fillId="0" borderId="1" xfId="0" applyBorder="1" applyAlignment="1">
      <alignment horizontal="center" vertical="center" wrapText="1"/>
    </xf>
    <xf numFmtId="0" fontId="1" fillId="0" borderId="8" xfId="0" applyFont="1" applyBorder="1" applyAlignment="1">
      <alignment horizontal="center" vertical="center" wrapText="1"/>
    </xf>
    <xf numFmtId="0" fontId="0" fillId="0" borderId="1" xfId="0" applyBorder="1" applyAlignment="1">
      <alignment horizontal="center" wrapText="1"/>
    </xf>
    <xf numFmtId="0" fontId="1" fillId="2" borderId="5" xfId="0" applyFont="1" applyFill="1" applyBorder="1"/>
    <xf numFmtId="0" fontId="0" fillId="0" borderId="1" xfId="0" applyBorder="1" applyAlignment="1">
      <alignment vertical="center"/>
    </xf>
    <xf numFmtId="0" fontId="0" fillId="0" borderId="3" xfId="0" applyBorder="1" applyAlignment="1">
      <alignment vertical="center" wrapText="1"/>
    </xf>
    <xf numFmtId="0" fontId="6" fillId="0" borderId="1" xfId="0" applyFont="1" applyBorder="1" applyAlignment="1">
      <alignment vertical="center" wrapText="1"/>
    </xf>
    <xf numFmtId="0" fontId="6" fillId="0" borderId="10" xfId="0" applyFont="1" applyBorder="1" applyAlignment="1">
      <alignment vertical="center" wrapText="1"/>
    </xf>
    <xf numFmtId="0" fontId="4" fillId="0" borderId="1" xfId="0" applyFont="1" applyBorder="1" applyAlignment="1">
      <alignment wrapText="1"/>
    </xf>
    <xf numFmtId="0" fontId="0" fillId="0" borderId="1" xfId="0" applyBorder="1" applyAlignment="1">
      <alignment horizontal="center" wrapText="1"/>
    </xf>
    <xf numFmtId="0" fontId="0" fillId="0" borderId="1" xfId="0" applyBorder="1" applyAlignment="1">
      <alignment horizontal="center"/>
    </xf>
    <xf numFmtId="0" fontId="0" fillId="0" borderId="6" xfId="0" applyBorder="1" applyAlignment="1">
      <alignment horizontal="center" wrapText="1"/>
    </xf>
    <xf numFmtId="0" fontId="0" fillId="0" borderId="7" xfId="0" applyBorder="1" applyAlignment="1">
      <alignment horizontal="center" wrapText="1"/>
    </xf>
    <xf numFmtId="0" fontId="0" fillId="0" borderId="3" xfId="0" applyBorder="1" applyAlignment="1">
      <alignment horizont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8" fillId="0" borderId="9" xfId="0" applyFont="1" applyBorder="1" applyAlignment="1">
      <alignment vertical="center" wrapText="1"/>
    </xf>
    <xf numFmtId="0" fontId="4" fillId="0" borderId="0" xfId="0" applyFont="1" applyAlignment="1">
      <alignment wrapText="1"/>
    </xf>
    <xf numFmtId="0" fontId="7" fillId="0" borderId="1" xfId="0" applyFont="1" applyBorder="1" applyAlignment="1">
      <alignment vertical="center" wrapText="1"/>
    </xf>
    <xf numFmtId="0" fontId="0" fillId="3" borderId="1" xfId="0" applyFill="1" applyBorder="1"/>
    <xf numFmtId="0" fontId="7" fillId="0" borderId="1" xfId="0" applyFont="1" applyBorder="1" applyAlignment="1">
      <alignment wrapText="1"/>
    </xf>
    <xf numFmtId="0" fontId="1" fillId="0" borderId="0" xfId="0" applyFont="1"/>
    <xf numFmtId="0" fontId="10" fillId="0" borderId="1" xfId="0" applyFont="1" applyBorder="1" applyAlignment="1">
      <alignment horizontal="justify" vertical="center" wrapText="1"/>
    </xf>
    <xf numFmtId="0" fontId="10" fillId="0" borderId="1" xfId="0" applyFont="1" applyBorder="1" applyAlignment="1">
      <alignment horizontal="justify" wrapText="1"/>
    </xf>
    <xf numFmtId="0" fontId="10"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1" fillId="0" borderId="1"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539750</xdr:colOff>
      <xdr:row>9</xdr:row>
      <xdr:rowOff>120650</xdr:rowOff>
    </xdr:from>
    <xdr:to>
      <xdr:col>15</xdr:col>
      <xdr:colOff>336618</xdr:colOff>
      <xdr:row>19</xdr:row>
      <xdr:rowOff>95343</xdr:rowOff>
    </xdr:to>
    <xdr:pic>
      <xdr:nvPicPr>
        <xdr:cNvPr id="2" name="Imagen 1">
          <a:extLst>
            <a:ext uri="{FF2B5EF4-FFF2-40B4-BE49-F238E27FC236}">
              <a16:creationId xmlns:a16="http://schemas.microsoft.com/office/drawing/2014/main" id="{45898890-0B16-0441-3BF0-7B017830F8BD}"/>
            </a:ext>
          </a:extLst>
        </xdr:cNvPr>
        <xdr:cNvPicPr>
          <a:picLocks noChangeAspect="1"/>
        </xdr:cNvPicPr>
      </xdr:nvPicPr>
      <xdr:blipFill>
        <a:blip xmlns:r="http://schemas.openxmlformats.org/officeDocument/2006/relationships" r:embed="rId1"/>
        <a:stretch>
          <a:fillRect/>
        </a:stretch>
      </xdr:blipFill>
      <xdr:spPr>
        <a:xfrm>
          <a:off x="14916150" y="1784350"/>
          <a:ext cx="1320868" cy="18161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3BF6-30CD-48C3-BD70-1225DB54BB85}">
  <dimension ref="A1:G25"/>
  <sheetViews>
    <sheetView topLeftCell="A10" zoomScale="30" zoomScaleNormal="30" workbookViewId="0">
      <selection activeCell="P12" sqref="P12"/>
    </sheetView>
  </sheetViews>
  <sheetFormatPr baseColWidth="10" defaultRowHeight="14.5" x14ac:dyDescent="0.35"/>
  <cols>
    <col min="1" max="1" width="5.81640625" customWidth="1"/>
    <col min="2" max="2" width="14.08984375" customWidth="1"/>
    <col min="3" max="3" width="52.453125" customWidth="1"/>
    <col min="4" max="4" width="33.36328125" customWidth="1"/>
    <col min="5" max="5" width="52.1796875" customWidth="1"/>
    <col min="6" max="6" width="33.1796875" customWidth="1"/>
    <col min="7" max="7" width="36.81640625" customWidth="1"/>
  </cols>
  <sheetData>
    <row r="1" spans="1:7" x14ac:dyDescent="0.35">
      <c r="A1" s="5" t="s">
        <v>0</v>
      </c>
      <c r="B1" s="5" t="s">
        <v>1</v>
      </c>
      <c r="C1" s="8" t="s">
        <v>2</v>
      </c>
      <c r="D1" s="5" t="s">
        <v>3</v>
      </c>
      <c r="E1" s="5" t="s">
        <v>41</v>
      </c>
      <c r="F1" s="5" t="s">
        <v>4</v>
      </c>
      <c r="G1" s="5" t="s">
        <v>5</v>
      </c>
    </row>
    <row r="2" spans="1:7" ht="87" x14ac:dyDescent="0.35">
      <c r="A2" s="7">
        <v>1</v>
      </c>
      <c r="B2" s="7" t="s">
        <v>12</v>
      </c>
      <c r="C2" s="9" t="s">
        <v>13</v>
      </c>
      <c r="D2" s="16" t="s">
        <v>30</v>
      </c>
      <c r="E2" s="19" t="s">
        <v>42</v>
      </c>
      <c r="F2" s="14" t="s">
        <v>43</v>
      </c>
      <c r="G2" s="7"/>
    </row>
    <row r="3" spans="1:7" ht="72.5" x14ac:dyDescent="0.35">
      <c r="A3" s="7">
        <v>2</v>
      </c>
      <c r="B3" s="7" t="s">
        <v>12</v>
      </c>
      <c r="C3" s="9" t="s">
        <v>14</v>
      </c>
      <c r="D3" s="16" t="s">
        <v>46</v>
      </c>
      <c r="E3" s="24" t="s">
        <v>44</v>
      </c>
      <c r="F3" s="7" t="s">
        <v>45</v>
      </c>
      <c r="G3" s="7"/>
    </row>
    <row r="4" spans="1:7" ht="20" customHeight="1" x14ac:dyDescent="0.35">
      <c r="A4" s="7">
        <v>3</v>
      </c>
      <c r="B4" s="7" t="s">
        <v>12</v>
      </c>
      <c r="C4" s="9" t="s">
        <v>15</v>
      </c>
      <c r="D4" s="16" t="s">
        <v>49</v>
      </c>
      <c r="E4" s="26" t="s">
        <v>47</v>
      </c>
      <c r="F4" s="22" t="s">
        <v>48</v>
      </c>
      <c r="G4" s="7"/>
    </row>
    <row r="5" spans="1:7" ht="40" customHeight="1" x14ac:dyDescent="0.35">
      <c r="A5" s="7">
        <v>4</v>
      </c>
      <c r="B5" s="7" t="s">
        <v>12</v>
      </c>
      <c r="C5" s="9" t="s">
        <v>16</v>
      </c>
      <c r="D5" s="16" t="s">
        <v>50</v>
      </c>
      <c r="E5" s="26" t="s">
        <v>51</v>
      </c>
      <c r="F5" s="16" t="s">
        <v>52</v>
      </c>
      <c r="G5" s="7"/>
    </row>
    <row r="6" spans="1:7" ht="130.5" x14ac:dyDescent="0.35">
      <c r="A6" s="7">
        <v>5</v>
      </c>
      <c r="B6" s="7" t="s">
        <v>12</v>
      </c>
      <c r="C6" s="9" t="s">
        <v>17</v>
      </c>
      <c r="D6" s="25" t="s">
        <v>50</v>
      </c>
      <c r="E6" s="25" t="s">
        <v>54</v>
      </c>
      <c r="F6" s="14" t="s">
        <v>53</v>
      </c>
      <c r="G6" s="7"/>
    </row>
    <row r="7" spans="1:7" ht="80" x14ac:dyDescent="0.35">
      <c r="A7" s="7">
        <v>6</v>
      </c>
      <c r="B7" s="7" t="s">
        <v>12</v>
      </c>
      <c r="C7" s="9" t="s">
        <v>18</v>
      </c>
      <c r="D7" s="28" t="s">
        <v>55</v>
      </c>
      <c r="E7" s="27" t="s">
        <v>57</v>
      </c>
      <c r="F7" s="28" t="s">
        <v>56</v>
      </c>
      <c r="G7" s="9"/>
    </row>
    <row r="8" spans="1:7" ht="40" customHeight="1" x14ac:dyDescent="0.35">
      <c r="A8" s="7">
        <v>7</v>
      </c>
      <c r="B8" s="7" t="s">
        <v>12</v>
      </c>
      <c r="C8" s="9" t="s">
        <v>19</v>
      </c>
      <c r="D8" s="28" t="s">
        <v>58</v>
      </c>
      <c r="E8" s="27" t="s">
        <v>60</v>
      </c>
      <c r="F8" s="28" t="s">
        <v>59</v>
      </c>
      <c r="G8" s="9"/>
    </row>
    <row r="9" spans="1:7" ht="120" x14ac:dyDescent="0.35">
      <c r="A9" s="7">
        <v>8</v>
      </c>
      <c r="B9" s="7" t="s">
        <v>12</v>
      </c>
      <c r="C9" s="9" t="s">
        <v>20</v>
      </c>
      <c r="D9" s="7" t="s">
        <v>63</v>
      </c>
      <c r="E9" s="39" t="s">
        <v>61</v>
      </c>
      <c r="F9" s="28" t="s">
        <v>62</v>
      </c>
    </row>
    <row r="10" spans="1:7" ht="118" x14ac:dyDescent="0.35">
      <c r="A10" s="7">
        <v>9</v>
      </c>
      <c r="B10" s="7" t="s">
        <v>12</v>
      </c>
      <c r="C10" s="9" t="s">
        <v>21</v>
      </c>
      <c r="D10" s="40" t="s">
        <v>64</v>
      </c>
      <c r="E10" s="41" t="s">
        <v>65</v>
      </c>
      <c r="F10" s="7" t="s">
        <v>66</v>
      </c>
      <c r="G10" s="7"/>
    </row>
    <row r="11" spans="1:7" ht="88" x14ac:dyDescent="0.35">
      <c r="A11" s="7">
        <v>10</v>
      </c>
      <c r="B11" s="7" t="s">
        <v>12</v>
      </c>
      <c r="C11" s="7" t="s">
        <v>22</v>
      </c>
      <c r="D11" s="41" t="s">
        <v>67</v>
      </c>
      <c r="E11" s="7" t="s">
        <v>68</v>
      </c>
      <c r="F11" s="41" t="s">
        <v>69</v>
      </c>
      <c r="G11" s="7"/>
    </row>
    <row r="12" spans="1:7" ht="136.5" x14ac:dyDescent="0.35">
      <c r="A12" s="7">
        <v>11</v>
      </c>
      <c r="B12" s="7" t="s">
        <v>6</v>
      </c>
      <c r="C12" s="6" t="s">
        <v>7</v>
      </c>
      <c r="D12" s="41" t="s">
        <v>70</v>
      </c>
      <c r="E12" s="41" t="s">
        <v>72</v>
      </c>
      <c r="F12" s="7" t="s">
        <v>71</v>
      </c>
      <c r="G12" s="7"/>
    </row>
    <row r="13" spans="1:7" ht="73.5" x14ac:dyDescent="0.35">
      <c r="A13" s="7">
        <v>12</v>
      </c>
      <c r="B13" s="7" t="s">
        <v>6</v>
      </c>
      <c r="C13" s="6" t="s">
        <v>8</v>
      </c>
      <c r="D13" s="41" t="s">
        <v>75</v>
      </c>
      <c r="E13" s="41" t="s">
        <v>73</v>
      </c>
      <c r="F13" s="41" t="s">
        <v>74</v>
      </c>
      <c r="G13" s="7"/>
    </row>
    <row r="14" spans="1:7" ht="94.5" x14ac:dyDescent="0.35">
      <c r="A14" s="7">
        <v>13</v>
      </c>
      <c r="B14" s="7" t="s">
        <v>6</v>
      </c>
      <c r="C14" s="6" t="s">
        <v>9</v>
      </c>
      <c r="D14" s="41" t="s">
        <v>76</v>
      </c>
      <c r="E14" s="41" t="s">
        <v>78</v>
      </c>
      <c r="F14" s="41" t="s">
        <v>77</v>
      </c>
      <c r="G14" s="7"/>
    </row>
    <row r="15" spans="1:7" ht="94.5" x14ac:dyDescent="0.35">
      <c r="A15" s="7">
        <v>14</v>
      </c>
      <c r="B15" s="7" t="s">
        <v>6</v>
      </c>
      <c r="C15" s="6" t="s">
        <v>10</v>
      </c>
      <c r="D15" s="41" t="s">
        <v>79</v>
      </c>
      <c r="E15" s="41" t="s">
        <v>80</v>
      </c>
      <c r="F15" s="41" t="s">
        <v>81</v>
      </c>
      <c r="G15" s="7"/>
    </row>
    <row r="16" spans="1:7" ht="126" x14ac:dyDescent="0.35">
      <c r="A16" s="7">
        <v>15</v>
      </c>
      <c r="B16" s="7" t="s">
        <v>6</v>
      </c>
      <c r="C16" s="6" t="s">
        <v>11</v>
      </c>
      <c r="D16" s="43" t="s">
        <v>82</v>
      </c>
      <c r="E16" s="16" t="s">
        <v>83</v>
      </c>
      <c r="F16" s="41" t="s">
        <v>84</v>
      </c>
      <c r="G16" s="7"/>
    </row>
    <row r="17" spans="1:7" x14ac:dyDescent="0.35">
      <c r="A17" s="15"/>
      <c r="B17" s="15"/>
      <c r="C17" s="15"/>
      <c r="D17" s="15"/>
      <c r="E17" s="15"/>
      <c r="F17" s="15"/>
      <c r="G17" s="15"/>
    </row>
    <row r="18" spans="1:7" x14ac:dyDescent="0.35">
      <c r="A18" s="15"/>
      <c r="B18" s="15"/>
      <c r="C18" s="15"/>
      <c r="D18" s="15"/>
      <c r="E18" s="15"/>
      <c r="F18" s="15"/>
      <c r="G18" s="15"/>
    </row>
    <row r="19" spans="1:7" x14ac:dyDescent="0.35">
      <c r="A19" s="15"/>
      <c r="B19" s="15"/>
      <c r="C19" s="15"/>
      <c r="D19" s="15"/>
      <c r="E19" s="15"/>
      <c r="F19" s="15"/>
      <c r="G19" s="15"/>
    </row>
    <row r="20" spans="1:7" x14ac:dyDescent="0.35">
      <c r="A20" s="15"/>
      <c r="B20" s="15"/>
      <c r="C20" s="15"/>
      <c r="D20" s="15"/>
      <c r="E20" s="15"/>
      <c r="F20" s="15"/>
      <c r="G20" s="15"/>
    </row>
    <row r="21" spans="1:7" x14ac:dyDescent="0.35">
      <c r="A21" s="15"/>
      <c r="B21" t="s">
        <v>39</v>
      </c>
      <c r="C21" s="15"/>
      <c r="D21" s="15"/>
      <c r="E21" s="15"/>
      <c r="F21" s="15"/>
      <c r="G21" s="15"/>
    </row>
    <row r="22" spans="1:7" x14ac:dyDescent="0.35">
      <c r="A22" s="15"/>
      <c r="B22" s="17"/>
      <c r="C22" s="15"/>
      <c r="D22" s="15"/>
      <c r="E22" s="15"/>
      <c r="F22" s="15"/>
      <c r="G22" s="15"/>
    </row>
    <row r="23" spans="1:7" x14ac:dyDescent="0.35">
      <c r="A23" s="15"/>
      <c r="B23" s="18" t="s">
        <v>40</v>
      </c>
      <c r="C23" s="15"/>
      <c r="D23" s="15"/>
      <c r="E23" s="15"/>
      <c r="F23" s="15"/>
      <c r="G23" s="15"/>
    </row>
    <row r="24" spans="1:7" x14ac:dyDescent="0.35">
      <c r="A24" s="15"/>
      <c r="B24" s="15"/>
      <c r="C24" s="15"/>
      <c r="D24" s="15"/>
      <c r="E24" s="15"/>
      <c r="F24" s="15"/>
      <c r="G24" s="15"/>
    </row>
    <row r="25" spans="1:7" x14ac:dyDescent="0.35">
      <c r="A25" s="15"/>
      <c r="B25" s="15"/>
      <c r="C25" s="15"/>
      <c r="D25" s="15"/>
      <c r="E25" s="15"/>
      <c r="F25" s="15"/>
      <c r="G25"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E390-4D89-4FF8-B5F2-A7D25EB0B092}">
  <dimension ref="A1:S96"/>
  <sheetViews>
    <sheetView tabSelected="1" topLeftCell="A60" zoomScale="60" zoomScaleNormal="60" workbookViewId="0">
      <selection activeCell="P71" sqref="P71:S74"/>
    </sheetView>
  </sheetViews>
  <sheetFormatPr baseColWidth="10" defaultRowHeight="14.5" x14ac:dyDescent="0.35"/>
  <cols>
    <col min="1" max="1" width="11.54296875" customWidth="1"/>
    <col min="2" max="2" width="17" customWidth="1"/>
    <col min="3" max="3" width="19.1796875" customWidth="1"/>
    <col min="4" max="5" width="21.453125" customWidth="1"/>
    <col min="9" max="9" width="16.453125" customWidth="1"/>
    <col min="10" max="10" width="23.6328125" customWidth="1"/>
    <col min="11" max="11" width="19.54296875" customWidth="1"/>
    <col min="12" max="12" width="21.36328125" customWidth="1"/>
  </cols>
  <sheetData>
    <row r="1" spans="1:12" ht="15" thickBot="1" x14ac:dyDescent="0.4">
      <c r="A1" s="5" t="s">
        <v>0</v>
      </c>
      <c r="B1" s="5" t="s">
        <v>1</v>
      </c>
      <c r="C1" s="21" t="s">
        <v>2</v>
      </c>
      <c r="D1" s="13" t="s">
        <v>31</v>
      </c>
      <c r="E1" s="13" t="s">
        <v>33</v>
      </c>
      <c r="F1" s="13" t="s">
        <v>34</v>
      </c>
      <c r="G1" s="13" t="s">
        <v>35</v>
      </c>
      <c r="H1" s="13" t="s">
        <v>36</v>
      </c>
      <c r="I1" s="13" t="s">
        <v>37</v>
      </c>
      <c r="J1" s="13" t="s">
        <v>32</v>
      </c>
      <c r="K1" s="23" t="s">
        <v>38</v>
      </c>
      <c r="L1" s="11"/>
    </row>
    <row r="2" spans="1:12" x14ac:dyDescent="0.35">
      <c r="A2" s="38">
        <v>1</v>
      </c>
      <c r="B2" s="30" t="s">
        <v>12</v>
      </c>
      <c r="C2" s="29" t="s">
        <v>13</v>
      </c>
      <c r="D2" s="12" t="s">
        <v>3</v>
      </c>
      <c r="E2" s="12">
        <v>5</v>
      </c>
      <c r="F2" s="12">
        <v>5</v>
      </c>
      <c r="G2" s="12">
        <v>5</v>
      </c>
      <c r="H2" s="12">
        <v>4</v>
      </c>
      <c r="I2" s="12">
        <v>5</v>
      </c>
      <c r="J2" s="12">
        <v>5</v>
      </c>
      <c r="K2" s="12">
        <f>SUM(E2:J2)</f>
        <v>29</v>
      </c>
      <c r="L2" s="6"/>
    </row>
    <row r="3" spans="1:12" x14ac:dyDescent="0.35">
      <c r="A3" s="38"/>
      <c r="B3" s="30"/>
      <c r="C3" s="29"/>
      <c r="D3" s="20" t="s">
        <v>41</v>
      </c>
      <c r="E3" s="6">
        <v>5</v>
      </c>
      <c r="F3" s="6">
        <v>5</v>
      </c>
      <c r="G3" s="6">
        <v>5</v>
      </c>
      <c r="H3" s="6">
        <v>5</v>
      </c>
      <c r="I3" s="6">
        <v>5</v>
      </c>
      <c r="J3" s="6">
        <v>5</v>
      </c>
      <c r="K3" s="12">
        <f t="shared" ref="K3:K46" si="0">SUM(E3:J3)</f>
        <v>30</v>
      </c>
      <c r="L3" s="6"/>
    </row>
    <row r="4" spans="1:12" x14ac:dyDescent="0.35">
      <c r="A4" s="38"/>
      <c r="B4" s="30"/>
      <c r="C4" s="29"/>
      <c r="D4" s="20" t="s">
        <v>4</v>
      </c>
      <c r="E4" s="6">
        <v>5</v>
      </c>
      <c r="F4" s="6">
        <v>5</v>
      </c>
      <c r="G4" s="6">
        <v>5</v>
      </c>
      <c r="H4" s="6">
        <v>5</v>
      </c>
      <c r="I4" s="6">
        <v>5</v>
      </c>
      <c r="J4" s="6">
        <v>5</v>
      </c>
      <c r="K4" s="12">
        <f t="shared" si="0"/>
        <v>30</v>
      </c>
      <c r="L4" s="6"/>
    </row>
    <row r="5" spans="1:12" x14ac:dyDescent="0.35">
      <c r="A5" s="34">
        <v>2</v>
      </c>
      <c r="B5" s="30" t="s">
        <v>12</v>
      </c>
      <c r="C5" s="37" t="s">
        <v>14</v>
      </c>
      <c r="D5" s="12" t="s">
        <v>3</v>
      </c>
      <c r="E5" s="6">
        <v>5</v>
      </c>
      <c r="F5" s="6">
        <v>5</v>
      </c>
      <c r="G5" s="6">
        <v>5</v>
      </c>
      <c r="H5" s="6">
        <v>4</v>
      </c>
      <c r="I5" s="6">
        <v>5</v>
      </c>
      <c r="J5" s="6">
        <v>5</v>
      </c>
      <c r="K5" s="12">
        <f t="shared" si="0"/>
        <v>29</v>
      </c>
      <c r="L5" s="6"/>
    </row>
    <row r="6" spans="1:12" x14ac:dyDescent="0.35">
      <c r="A6" s="35"/>
      <c r="B6" s="30"/>
      <c r="C6" s="37"/>
      <c r="D6" s="20" t="s">
        <v>41</v>
      </c>
      <c r="E6" s="6">
        <v>5</v>
      </c>
      <c r="F6" s="6">
        <v>5</v>
      </c>
      <c r="G6" s="6">
        <v>5</v>
      </c>
      <c r="H6" s="6">
        <v>5</v>
      </c>
      <c r="I6" s="6">
        <v>5</v>
      </c>
      <c r="J6" s="6">
        <v>5</v>
      </c>
      <c r="K6" s="12">
        <f t="shared" si="0"/>
        <v>30</v>
      </c>
      <c r="L6" s="6"/>
    </row>
    <row r="7" spans="1:12" x14ac:dyDescent="0.35">
      <c r="A7" s="36"/>
      <c r="B7" s="30"/>
      <c r="C7" s="37"/>
      <c r="D7" s="20" t="s">
        <v>4</v>
      </c>
      <c r="E7" s="6">
        <v>5</v>
      </c>
      <c r="F7" s="6">
        <v>5</v>
      </c>
      <c r="G7" s="6">
        <v>5</v>
      </c>
      <c r="H7" s="6">
        <v>5</v>
      </c>
      <c r="I7" s="6">
        <v>5</v>
      </c>
      <c r="J7" s="6">
        <v>5</v>
      </c>
      <c r="K7" s="12">
        <f t="shared" si="0"/>
        <v>30</v>
      </c>
      <c r="L7" s="6"/>
    </row>
    <row r="8" spans="1:12" x14ac:dyDescent="0.35">
      <c r="A8" s="34">
        <v>3</v>
      </c>
      <c r="B8" s="30" t="s">
        <v>12</v>
      </c>
      <c r="C8" s="31" t="s">
        <v>15</v>
      </c>
      <c r="D8" s="12" t="s">
        <v>3</v>
      </c>
      <c r="E8" s="6">
        <v>5</v>
      </c>
      <c r="F8" s="6">
        <v>5</v>
      </c>
      <c r="G8" s="6">
        <v>5</v>
      </c>
      <c r="H8" s="6">
        <v>4</v>
      </c>
      <c r="I8" s="6">
        <v>5</v>
      </c>
      <c r="J8" s="6">
        <v>5</v>
      </c>
      <c r="K8" s="12">
        <f t="shared" si="0"/>
        <v>29</v>
      </c>
      <c r="L8" s="6"/>
    </row>
    <row r="9" spans="1:12" x14ac:dyDescent="0.35">
      <c r="A9" s="35"/>
      <c r="B9" s="30"/>
      <c r="C9" s="32"/>
      <c r="D9" s="20" t="s">
        <v>41</v>
      </c>
      <c r="E9" s="6">
        <v>5</v>
      </c>
      <c r="F9" s="6">
        <v>5</v>
      </c>
      <c r="G9" s="6">
        <v>5</v>
      </c>
      <c r="H9" s="6">
        <v>5</v>
      </c>
      <c r="I9" s="6">
        <v>5</v>
      </c>
      <c r="J9" s="6">
        <v>5</v>
      </c>
      <c r="K9" s="12">
        <f t="shared" si="0"/>
        <v>30</v>
      </c>
      <c r="L9" s="6"/>
    </row>
    <row r="10" spans="1:12" x14ac:dyDescent="0.35">
      <c r="A10" s="36"/>
      <c r="B10" s="30"/>
      <c r="C10" s="33"/>
      <c r="D10" s="20" t="s">
        <v>4</v>
      </c>
      <c r="E10" s="6">
        <v>5</v>
      </c>
      <c r="F10" s="6">
        <v>5</v>
      </c>
      <c r="G10" s="6">
        <v>5</v>
      </c>
      <c r="H10" s="6">
        <v>5</v>
      </c>
      <c r="I10" s="6">
        <v>5</v>
      </c>
      <c r="J10" s="6">
        <v>5</v>
      </c>
      <c r="K10" s="12">
        <f t="shared" si="0"/>
        <v>30</v>
      </c>
      <c r="L10" s="6"/>
    </row>
    <row r="11" spans="1:12" x14ac:dyDescent="0.35">
      <c r="A11" s="34">
        <v>4</v>
      </c>
      <c r="B11" s="30" t="s">
        <v>12</v>
      </c>
      <c r="C11" s="34" t="s">
        <v>16</v>
      </c>
      <c r="D11" s="12" t="s">
        <v>3</v>
      </c>
      <c r="E11" s="6">
        <v>5</v>
      </c>
      <c r="F11" s="6">
        <v>5</v>
      </c>
      <c r="G11" s="6">
        <v>5</v>
      </c>
      <c r="H11" s="6">
        <v>4</v>
      </c>
      <c r="I11" s="6">
        <v>5</v>
      </c>
      <c r="J11" s="6">
        <v>5</v>
      </c>
      <c r="K11" s="12">
        <f t="shared" si="0"/>
        <v>29</v>
      </c>
      <c r="L11" s="6"/>
    </row>
    <row r="12" spans="1:12" x14ac:dyDescent="0.35">
      <c r="A12" s="35"/>
      <c r="B12" s="30"/>
      <c r="C12" s="35"/>
      <c r="D12" s="20" t="s">
        <v>41</v>
      </c>
      <c r="E12" s="6">
        <v>5</v>
      </c>
      <c r="F12" s="6">
        <v>5</v>
      </c>
      <c r="G12" s="6">
        <v>5</v>
      </c>
      <c r="H12" s="6">
        <v>5</v>
      </c>
      <c r="I12" s="6">
        <v>5</v>
      </c>
      <c r="J12" s="6">
        <v>5</v>
      </c>
      <c r="K12" s="12">
        <f t="shared" si="0"/>
        <v>30</v>
      </c>
      <c r="L12" s="6"/>
    </row>
    <row r="13" spans="1:12" x14ac:dyDescent="0.35">
      <c r="A13" s="36"/>
      <c r="B13" s="30"/>
      <c r="C13" s="36"/>
      <c r="D13" s="20" t="s">
        <v>4</v>
      </c>
      <c r="E13" s="6">
        <v>5</v>
      </c>
      <c r="F13" s="6">
        <v>5</v>
      </c>
      <c r="G13" s="6">
        <v>5</v>
      </c>
      <c r="H13" s="6">
        <v>5</v>
      </c>
      <c r="I13" s="6">
        <v>5</v>
      </c>
      <c r="J13" s="6">
        <v>5</v>
      </c>
      <c r="K13" s="12">
        <f t="shared" si="0"/>
        <v>30</v>
      </c>
      <c r="L13" s="6"/>
    </row>
    <row r="14" spans="1:12" x14ac:dyDescent="0.35">
      <c r="A14" s="34">
        <v>5</v>
      </c>
      <c r="B14" s="30" t="s">
        <v>12</v>
      </c>
      <c r="C14" s="34" t="s">
        <v>17</v>
      </c>
      <c r="D14" s="12" t="s">
        <v>3</v>
      </c>
      <c r="E14" s="6">
        <v>5</v>
      </c>
      <c r="F14" s="6">
        <v>5</v>
      </c>
      <c r="G14" s="6">
        <v>5</v>
      </c>
      <c r="H14" s="6">
        <v>4</v>
      </c>
      <c r="I14" s="6">
        <v>5</v>
      </c>
      <c r="J14" s="6">
        <v>5</v>
      </c>
      <c r="K14" s="12">
        <f t="shared" si="0"/>
        <v>29</v>
      </c>
      <c r="L14" s="6"/>
    </row>
    <row r="15" spans="1:12" x14ac:dyDescent="0.35">
      <c r="A15" s="35"/>
      <c r="B15" s="30"/>
      <c r="C15" s="35"/>
      <c r="D15" s="20" t="s">
        <v>41</v>
      </c>
      <c r="E15" s="6">
        <v>5</v>
      </c>
      <c r="F15" s="6">
        <v>5</v>
      </c>
      <c r="G15" s="6">
        <v>5</v>
      </c>
      <c r="H15" s="6">
        <v>5</v>
      </c>
      <c r="I15" s="6">
        <v>5</v>
      </c>
      <c r="J15" s="6">
        <v>5</v>
      </c>
      <c r="K15" s="12">
        <f t="shared" si="0"/>
        <v>30</v>
      </c>
      <c r="L15" s="6"/>
    </row>
    <row r="16" spans="1:12" x14ac:dyDescent="0.35">
      <c r="A16" s="36"/>
      <c r="B16" s="30"/>
      <c r="C16" s="36"/>
      <c r="D16" s="20" t="s">
        <v>4</v>
      </c>
      <c r="E16" s="6">
        <v>5</v>
      </c>
      <c r="F16" s="6">
        <v>5</v>
      </c>
      <c r="G16" s="6">
        <v>5</v>
      </c>
      <c r="H16" s="6">
        <v>5</v>
      </c>
      <c r="I16" s="6">
        <v>5</v>
      </c>
      <c r="J16" s="6">
        <v>5</v>
      </c>
      <c r="K16" s="12">
        <f t="shared" si="0"/>
        <v>30</v>
      </c>
      <c r="L16" s="6"/>
    </row>
    <row r="17" spans="1:12" x14ac:dyDescent="0.35">
      <c r="A17" s="34">
        <v>6</v>
      </c>
      <c r="B17" s="30" t="s">
        <v>12</v>
      </c>
      <c r="C17" s="34" t="s">
        <v>18</v>
      </c>
      <c r="D17" s="12" t="s">
        <v>3</v>
      </c>
      <c r="E17" s="6">
        <v>5</v>
      </c>
      <c r="F17" s="6">
        <v>5</v>
      </c>
      <c r="G17" s="6">
        <v>5</v>
      </c>
      <c r="H17" s="6">
        <v>4</v>
      </c>
      <c r="I17" s="6">
        <v>5</v>
      </c>
      <c r="J17" s="6">
        <v>5</v>
      </c>
      <c r="K17" s="12">
        <f t="shared" si="0"/>
        <v>29</v>
      </c>
      <c r="L17" s="6"/>
    </row>
    <row r="18" spans="1:12" x14ac:dyDescent="0.35">
      <c r="A18" s="35"/>
      <c r="B18" s="30"/>
      <c r="C18" s="35"/>
      <c r="D18" s="20" t="s">
        <v>41</v>
      </c>
      <c r="E18" s="6">
        <v>5</v>
      </c>
      <c r="F18" s="6">
        <v>5</v>
      </c>
      <c r="G18" s="6">
        <v>5</v>
      </c>
      <c r="H18" s="6">
        <v>5</v>
      </c>
      <c r="I18" s="6">
        <v>5</v>
      </c>
      <c r="J18" s="6">
        <v>5</v>
      </c>
      <c r="K18" s="12">
        <f t="shared" si="0"/>
        <v>30</v>
      </c>
      <c r="L18" s="6"/>
    </row>
    <row r="19" spans="1:12" x14ac:dyDescent="0.35">
      <c r="A19" s="36"/>
      <c r="B19" s="30"/>
      <c r="C19" s="36"/>
      <c r="D19" s="20" t="s">
        <v>4</v>
      </c>
      <c r="E19" s="6">
        <v>5</v>
      </c>
      <c r="F19" s="6">
        <v>5</v>
      </c>
      <c r="G19" s="6">
        <v>5</v>
      </c>
      <c r="H19" s="6">
        <v>5</v>
      </c>
      <c r="I19" s="6">
        <v>5</v>
      </c>
      <c r="J19" s="6">
        <v>5</v>
      </c>
      <c r="K19" s="12">
        <f t="shared" si="0"/>
        <v>30</v>
      </c>
      <c r="L19" s="6"/>
    </row>
    <row r="20" spans="1:12" x14ac:dyDescent="0.35">
      <c r="A20" s="34">
        <v>7</v>
      </c>
      <c r="B20" s="30" t="s">
        <v>12</v>
      </c>
      <c r="C20" s="34" t="s">
        <v>19</v>
      </c>
      <c r="D20" s="12" t="s">
        <v>3</v>
      </c>
      <c r="E20" s="6">
        <v>5</v>
      </c>
      <c r="F20" s="6">
        <v>5</v>
      </c>
      <c r="G20" s="6">
        <v>5</v>
      </c>
      <c r="H20" s="6">
        <v>4</v>
      </c>
      <c r="I20" s="6">
        <v>5</v>
      </c>
      <c r="J20" s="6">
        <v>5</v>
      </c>
      <c r="K20" s="12">
        <f t="shared" si="0"/>
        <v>29</v>
      </c>
      <c r="L20" s="6"/>
    </row>
    <row r="21" spans="1:12" x14ac:dyDescent="0.35">
      <c r="A21" s="35"/>
      <c r="B21" s="30"/>
      <c r="C21" s="35"/>
      <c r="D21" s="20" t="s">
        <v>41</v>
      </c>
      <c r="E21" s="6">
        <v>5</v>
      </c>
      <c r="F21" s="6">
        <v>5</v>
      </c>
      <c r="G21" s="6">
        <v>5</v>
      </c>
      <c r="H21" s="6">
        <v>5</v>
      </c>
      <c r="I21" s="6">
        <v>5</v>
      </c>
      <c r="J21" s="6">
        <v>5</v>
      </c>
      <c r="K21" s="12">
        <f t="shared" si="0"/>
        <v>30</v>
      </c>
      <c r="L21" s="6"/>
    </row>
    <row r="22" spans="1:12" x14ac:dyDescent="0.35">
      <c r="A22" s="36"/>
      <c r="B22" s="30"/>
      <c r="C22" s="36"/>
      <c r="D22" s="20" t="s">
        <v>4</v>
      </c>
      <c r="E22" s="6">
        <v>5</v>
      </c>
      <c r="F22" s="6">
        <v>5</v>
      </c>
      <c r="G22" s="6">
        <v>5</v>
      </c>
      <c r="H22" s="6">
        <v>5</v>
      </c>
      <c r="I22" s="6">
        <v>5</v>
      </c>
      <c r="J22" s="6">
        <v>5</v>
      </c>
      <c r="K22" s="12">
        <f t="shared" si="0"/>
        <v>30</v>
      </c>
      <c r="L22" s="6"/>
    </row>
    <row r="23" spans="1:12" x14ac:dyDescent="0.35">
      <c r="A23" s="34">
        <v>8</v>
      </c>
      <c r="B23" s="30" t="s">
        <v>12</v>
      </c>
      <c r="C23" s="34" t="s">
        <v>20</v>
      </c>
      <c r="D23" s="12" t="s">
        <v>3</v>
      </c>
      <c r="E23" s="6">
        <v>5</v>
      </c>
      <c r="F23" s="6">
        <v>5</v>
      </c>
      <c r="G23" s="6">
        <v>5</v>
      </c>
      <c r="H23" s="6">
        <v>4</v>
      </c>
      <c r="I23" s="6">
        <v>5</v>
      </c>
      <c r="J23" s="6">
        <v>5</v>
      </c>
      <c r="K23" s="12">
        <f t="shared" si="0"/>
        <v>29</v>
      </c>
      <c r="L23" s="6"/>
    </row>
    <row r="24" spans="1:12" x14ac:dyDescent="0.35">
      <c r="A24" s="35"/>
      <c r="B24" s="30"/>
      <c r="C24" s="35"/>
      <c r="D24" s="20" t="s">
        <v>41</v>
      </c>
      <c r="E24" s="6">
        <v>5</v>
      </c>
      <c r="F24" s="6">
        <v>5</v>
      </c>
      <c r="G24" s="6">
        <v>5</v>
      </c>
      <c r="H24" s="6">
        <v>5</v>
      </c>
      <c r="I24" s="6">
        <v>5</v>
      </c>
      <c r="J24" s="6">
        <v>5</v>
      </c>
      <c r="K24" s="12">
        <f t="shared" si="0"/>
        <v>30</v>
      </c>
      <c r="L24" s="6"/>
    </row>
    <row r="25" spans="1:12" x14ac:dyDescent="0.35">
      <c r="A25" s="36"/>
      <c r="B25" s="30"/>
      <c r="C25" s="36"/>
      <c r="D25" s="20" t="s">
        <v>4</v>
      </c>
      <c r="E25" s="6">
        <v>5</v>
      </c>
      <c r="F25" s="6">
        <v>5</v>
      </c>
      <c r="G25" s="6">
        <v>5</v>
      </c>
      <c r="H25" s="6">
        <v>5</v>
      </c>
      <c r="I25" s="6">
        <v>5</v>
      </c>
      <c r="J25" s="6">
        <v>5</v>
      </c>
      <c r="K25" s="12">
        <f t="shared" si="0"/>
        <v>30</v>
      </c>
      <c r="L25" s="6"/>
    </row>
    <row r="26" spans="1:12" x14ac:dyDescent="0.35">
      <c r="A26" s="30">
        <v>9</v>
      </c>
      <c r="B26" s="30" t="s">
        <v>12</v>
      </c>
      <c r="C26" s="29" t="s">
        <v>21</v>
      </c>
      <c r="D26" s="12" t="s">
        <v>3</v>
      </c>
      <c r="E26" s="6">
        <v>5</v>
      </c>
      <c r="F26" s="6">
        <v>5</v>
      </c>
      <c r="G26" s="6">
        <v>5</v>
      </c>
      <c r="H26" s="6">
        <v>4</v>
      </c>
      <c r="I26" s="6">
        <v>5</v>
      </c>
      <c r="J26" s="6">
        <v>5</v>
      </c>
      <c r="K26" s="12">
        <f t="shared" si="0"/>
        <v>29</v>
      </c>
      <c r="L26" s="6"/>
    </row>
    <row r="27" spans="1:12" x14ac:dyDescent="0.35">
      <c r="A27" s="30"/>
      <c r="B27" s="30"/>
      <c r="C27" s="29"/>
      <c r="D27" s="20" t="s">
        <v>41</v>
      </c>
      <c r="E27" s="6">
        <v>5</v>
      </c>
      <c r="F27" s="6">
        <v>5</v>
      </c>
      <c r="G27" s="6">
        <v>5</v>
      </c>
      <c r="H27" s="6">
        <v>5</v>
      </c>
      <c r="I27" s="6">
        <v>5</v>
      </c>
      <c r="J27" s="6">
        <v>5</v>
      </c>
      <c r="K27" s="12">
        <f t="shared" si="0"/>
        <v>30</v>
      </c>
      <c r="L27" s="6"/>
    </row>
    <row r="28" spans="1:12" x14ac:dyDescent="0.35">
      <c r="A28" s="30"/>
      <c r="B28" s="30"/>
      <c r="C28" s="29"/>
      <c r="D28" s="20" t="s">
        <v>4</v>
      </c>
      <c r="E28" s="6">
        <v>5</v>
      </c>
      <c r="F28" s="6">
        <v>5</v>
      </c>
      <c r="G28" s="6">
        <v>5</v>
      </c>
      <c r="H28" s="6">
        <v>5</v>
      </c>
      <c r="I28" s="6">
        <v>5</v>
      </c>
      <c r="J28" s="6">
        <v>5</v>
      </c>
      <c r="K28" s="12">
        <f t="shared" si="0"/>
        <v>30</v>
      </c>
      <c r="L28" s="6"/>
    </row>
    <row r="29" spans="1:12" x14ac:dyDescent="0.35">
      <c r="A29" s="30">
        <v>10</v>
      </c>
      <c r="B29" s="30" t="s">
        <v>12</v>
      </c>
      <c r="C29" s="31" t="s">
        <v>22</v>
      </c>
      <c r="D29" s="12" t="s">
        <v>3</v>
      </c>
      <c r="E29" s="6">
        <v>5</v>
      </c>
      <c r="F29" s="6">
        <v>5</v>
      </c>
      <c r="G29" s="6">
        <v>5</v>
      </c>
      <c r="H29" s="6">
        <v>4</v>
      </c>
      <c r="I29" s="6">
        <v>5</v>
      </c>
      <c r="J29" s="6">
        <v>5</v>
      </c>
      <c r="K29" s="12">
        <f t="shared" si="0"/>
        <v>29</v>
      </c>
      <c r="L29" s="6"/>
    </row>
    <row r="30" spans="1:12" x14ac:dyDescent="0.35">
      <c r="A30" s="30"/>
      <c r="B30" s="30"/>
      <c r="C30" s="32"/>
      <c r="D30" s="20" t="s">
        <v>41</v>
      </c>
      <c r="E30" s="6">
        <v>5</v>
      </c>
      <c r="F30" s="6">
        <v>5</v>
      </c>
      <c r="G30" s="6">
        <v>5</v>
      </c>
      <c r="H30" s="6">
        <v>5</v>
      </c>
      <c r="I30" s="6">
        <v>5</v>
      </c>
      <c r="J30" s="6">
        <v>5</v>
      </c>
      <c r="K30" s="12">
        <f t="shared" si="0"/>
        <v>30</v>
      </c>
      <c r="L30" s="6"/>
    </row>
    <row r="31" spans="1:12" x14ac:dyDescent="0.35">
      <c r="A31" s="30"/>
      <c r="B31" s="30"/>
      <c r="C31" s="33"/>
      <c r="D31" s="20" t="s">
        <v>4</v>
      </c>
      <c r="E31" s="6">
        <v>5</v>
      </c>
      <c r="F31" s="6">
        <v>5</v>
      </c>
      <c r="G31" s="6">
        <v>5</v>
      </c>
      <c r="H31" s="6">
        <v>5</v>
      </c>
      <c r="I31" s="6">
        <v>5</v>
      </c>
      <c r="J31" s="6">
        <v>5</v>
      </c>
      <c r="K31" s="12">
        <f t="shared" si="0"/>
        <v>30</v>
      </c>
      <c r="L31" s="6"/>
    </row>
    <row r="32" spans="1:12" x14ac:dyDescent="0.35">
      <c r="A32" s="30">
        <v>11</v>
      </c>
      <c r="B32" s="30" t="s">
        <v>6</v>
      </c>
      <c r="C32" s="34" t="s">
        <v>7</v>
      </c>
      <c r="D32" s="12" t="s">
        <v>3</v>
      </c>
      <c r="E32" s="6">
        <v>5</v>
      </c>
      <c r="F32" s="6">
        <v>5</v>
      </c>
      <c r="G32" s="6">
        <v>5</v>
      </c>
      <c r="H32" s="6">
        <v>4</v>
      </c>
      <c r="I32" s="6">
        <v>5</v>
      </c>
      <c r="J32" s="6">
        <v>5</v>
      </c>
      <c r="K32" s="12">
        <f t="shared" si="0"/>
        <v>29</v>
      </c>
      <c r="L32" s="6"/>
    </row>
    <row r="33" spans="1:12" x14ac:dyDescent="0.35">
      <c r="A33" s="30"/>
      <c r="B33" s="30"/>
      <c r="C33" s="35"/>
      <c r="D33" s="20" t="s">
        <v>41</v>
      </c>
      <c r="E33" s="6">
        <v>5</v>
      </c>
      <c r="F33" s="6">
        <v>5</v>
      </c>
      <c r="G33" s="6">
        <v>5</v>
      </c>
      <c r="H33" s="6">
        <v>5</v>
      </c>
      <c r="I33" s="6">
        <v>5</v>
      </c>
      <c r="J33" s="6">
        <v>5</v>
      </c>
      <c r="K33" s="12">
        <f t="shared" si="0"/>
        <v>30</v>
      </c>
      <c r="L33" s="6"/>
    </row>
    <row r="34" spans="1:12" x14ac:dyDescent="0.35">
      <c r="A34" s="30"/>
      <c r="B34" s="30"/>
      <c r="C34" s="36"/>
      <c r="D34" s="20" t="s">
        <v>4</v>
      </c>
      <c r="E34" s="6">
        <v>5</v>
      </c>
      <c r="F34" s="6">
        <v>5</v>
      </c>
      <c r="G34" s="6">
        <v>5</v>
      </c>
      <c r="H34" s="6">
        <v>5</v>
      </c>
      <c r="I34" s="6">
        <v>5</v>
      </c>
      <c r="J34" s="6">
        <v>5</v>
      </c>
      <c r="K34" s="12">
        <f t="shared" si="0"/>
        <v>30</v>
      </c>
      <c r="L34" s="6"/>
    </row>
    <row r="35" spans="1:12" x14ac:dyDescent="0.35">
      <c r="A35" s="30">
        <v>12</v>
      </c>
      <c r="B35" s="30" t="s">
        <v>6</v>
      </c>
      <c r="C35" s="37" t="s">
        <v>8</v>
      </c>
      <c r="D35" s="12" t="s">
        <v>3</v>
      </c>
      <c r="E35" s="6">
        <v>5</v>
      </c>
      <c r="F35" s="6">
        <v>5</v>
      </c>
      <c r="G35" s="6">
        <v>5</v>
      </c>
      <c r="H35" s="6">
        <v>4</v>
      </c>
      <c r="I35" s="6">
        <v>5</v>
      </c>
      <c r="J35" s="6">
        <v>5</v>
      </c>
      <c r="K35" s="12">
        <f t="shared" si="0"/>
        <v>29</v>
      </c>
      <c r="L35" s="6"/>
    </row>
    <row r="36" spans="1:12" x14ac:dyDescent="0.35">
      <c r="A36" s="30"/>
      <c r="B36" s="30"/>
      <c r="C36" s="37"/>
      <c r="D36" s="20" t="s">
        <v>41</v>
      </c>
      <c r="E36" s="6">
        <v>5</v>
      </c>
      <c r="F36" s="6">
        <v>5</v>
      </c>
      <c r="G36" s="6">
        <v>5</v>
      </c>
      <c r="H36" s="6">
        <v>5</v>
      </c>
      <c r="I36" s="6">
        <v>5</v>
      </c>
      <c r="J36" s="6">
        <v>5</v>
      </c>
      <c r="K36" s="12">
        <f t="shared" si="0"/>
        <v>30</v>
      </c>
      <c r="L36" s="6"/>
    </row>
    <row r="37" spans="1:12" x14ac:dyDescent="0.35">
      <c r="A37" s="30"/>
      <c r="B37" s="30"/>
      <c r="C37" s="37"/>
      <c r="D37" s="20" t="s">
        <v>4</v>
      </c>
      <c r="E37" s="6">
        <v>5</v>
      </c>
      <c r="F37" s="6">
        <v>5</v>
      </c>
      <c r="G37" s="6">
        <v>5</v>
      </c>
      <c r="H37" s="6">
        <v>5</v>
      </c>
      <c r="I37" s="6">
        <v>5</v>
      </c>
      <c r="J37" s="6">
        <v>5</v>
      </c>
      <c r="K37" s="12">
        <f t="shared" si="0"/>
        <v>30</v>
      </c>
      <c r="L37" s="6"/>
    </row>
    <row r="38" spans="1:12" x14ac:dyDescent="0.35">
      <c r="A38" s="30">
        <v>13</v>
      </c>
      <c r="B38" s="30" t="s">
        <v>6</v>
      </c>
      <c r="C38" s="37" t="s">
        <v>9</v>
      </c>
      <c r="D38" s="12" t="s">
        <v>3</v>
      </c>
      <c r="E38" s="42">
        <v>5</v>
      </c>
      <c r="F38" s="6">
        <v>5</v>
      </c>
      <c r="G38" s="6">
        <v>5</v>
      </c>
      <c r="H38" s="6">
        <v>4</v>
      </c>
      <c r="I38" s="6">
        <v>5</v>
      </c>
      <c r="J38" s="6">
        <v>5</v>
      </c>
      <c r="K38" s="12">
        <f t="shared" si="0"/>
        <v>29</v>
      </c>
      <c r="L38" s="6"/>
    </row>
    <row r="39" spans="1:12" x14ac:dyDescent="0.35">
      <c r="A39" s="30"/>
      <c r="B39" s="30"/>
      <c r="C39" s="37"/>
      <c r="D39" s="20" t="s">
        <v>41</v>
      </c>
      <c r="E39" s="42">
        <v>5</v>
      </c>
      <c r="F39" s="6">
        <v>5</v>
      </c>
      <c r="G39" s="6">
        <v>5</v>
      </c>
      <c r="H39" s="6">
        <v>5</v>
      </c>
      <c r="I39" s="6">
        <v>5</v>
      </c>
      <c r="J39" s="6">
        <v>5</v>
      </c>
      <c r="K39" s="12">
        <f t="shared" si="0"/>
        <v>30</v>
      </c>
      <c r="L39" s="6"/>
    </row>
    <row r="40" spans="1:12" x14ac:dyDescent="0.35">
      <c r="A40" s="30"/>
      <c r="B40" s="30"/>
      <c r="C40" s="37"/>
      <c r="D40" s="20" t="s">
        <v>4</v>
      </c>
      <c r="E40" s="42">
        <v>5</v>
      </c>
      <c r="F40" s="6">
        <v>5</v>
      </c>
      <c r="G40" s="6">
        <v>5</v>
      </c>
      <c r="H40" s="6">
        <v>5</v>
      </c>
      <c r="I40" s="6">
        <v>5</v>
      </c>
      <c r="J40" s="6">
        <v>5</v>
      </c>
      <c r="K40" s="12">
        <f t="shared" si="0"/>
        <v>30</v>
      </c>
      <c r="L40" s="6"/>
    </row>
    <row r="41" spans="1:12" x14ac:dyDescent="0.35">
      <c r="A41" s="30">
        <v>14</v>
      </c>
      <c r="B41" s="30" t="s">
        <v>6</v>
      </c>
      <c r="C41" s="29" t="s">
        <v>10</v>
      </c>
      <c r="D41" s="12" t="s">
        <v>3</v>
      </c>
      <c r="E41" s="42">
        <v>5</v>
      </c>
      <c r="F41" s="6">
        <v>5</v>
      </c>
      <c r="G41" s="6">
        <v>5</v>
      </c>
      <c r="H41" s="6">
        <v>4</v>
      </c>
      <c r="I41" s="6">
        <v>5</v>
      </c>
      <c r="J41" s="6">
        <v>5</v>
      </c>
      <c r="K41" s="12">
        <f t="shared" si="0"/>
        <v>29</v>
      </c>
      <c r="L41" s="6"/>
    </row>
    <row r="42" spans="1:12" x14ac:dyDescent="0.35">
      <c r="A42" s="30"/>
      <c r="B42" s="30"/>
      <c r="C42" s="29"/>
      <c r="D42" s="20" t="s">
        <v>41</v>
      </c>
      <c r="E42" s="42">
        <v>5</v>
      </c>
      <c r="F42" s="6">
        <v>5</v>
      </c>
      <c r="G42" s="6">
        <v>5</v>
      </c>
      <c r="H42" s="6">
        <v>5</v>
      </c>
      <c r="I42" s="6">
        <v>5</v>
      </c>
      <c r="J42" s="6">
        <v>5</v>
      </c>
      <c r="K42" s="12">
        <f t="shared" si="0"/>
        <v>30</v>
      </c>
      <c r="L42" s="6"/>
    </row>
    <row r="43" spans="1:12" x14ac:dyDescent="0.35">
      <c r="A43" s="30"/>
      <c r="B43" s="30"/>
      <c r="C43" s="29"/>
      <c r="D43" s="20" t="s">
        <v>4</v>
      </c>
      <c r="E43" s="42">
        <v>5</v>
      </c>
      <c r="F43" s="6">
        <v>5</v>
      </c>
      <c r="G43" s="6">
        <v>5</v>
      </c>
      <c r="H43" s="6">
        <v>5</v>
      </c>
      <c r="I43" s="6">
        <v>5</v>
      </c>
      <c r="J43" s="6">
        <v>5</v>
      </c>
      <c r="K43" s="12">
        <f t="shared" si="0"/>
        <v>30</v>
      </c>
      <c r="L43" s="6"/>
    </row>
    <row r="44" spans="1:12" x14ac:dyDescent="0.35">
      <c r="A44" s="30">
        <v>15</v>
      </c>
      <c r="B44" s="30" t="s">
        <v>6</v>
      </c>
      <c r="C44" s="29" t="s">
        <v>11</v>
      </c>
      <c r="D44" s="12" t="s">
        <v>3</v>
      </c>
      <c r="E44" s="42">
        <v>5</v>
      </c>
      <c r="F44" s="6">
        <v>5</v>
      </c>
      <c r="G44" s="6">
        <v>5</v>
      </c>
      <c r="H44" s="6">
        <v>5</v>
      </c>
      <c r="I44" s="6">
        <v>5</v>
      </c>
      <c r="J44" s="6">
        <v>5</v>
      </c>
      <c r="K44" s="12">
        <f t="shared" si="0"/>
        <v>30</v>
      </c>
      <c r="L44" s="6"/>
    </row>
    <row r="45" spans="1:12" x14ac:dyDescent="0.35">
      <c r="A45" s="30"/>
      <c r="B45" s="30"/>
      <c r="C45" s="29"/>
      <c r="D45" s="20" t="s">
        <v>41</v>
      </c>
      <c r="E45" s="42">
        <v>5</v>
      </c>
      <c r="F45" s="6">
        <v>5</v>
      </c>
      <c r="G45" s="6">
        <v>5</v>
      </c>
      <c r="H45" s="6">
        <v>5</v>
      </c>
      <c r="I45" s="6">
        <v>5</v>
      </c>
      <c r="J45" s="6">
        <v>5</v>
      </c>
      <c r="K45" s="12">
        <f t="shared" si="0"/>
        <v>30</v>
      </c>
      <c r="L45" s="6"/>
    </row>
    <row r="46" spans="1:12" x14ac:dyDescent="0.35">
      <c r="A46" s="30"/>
      <c r="B46" s="30"/>
      <c r="C46" s="29"/>
      <c r="D46" s="20" t="s">
        <v>4</v>
      </c>
      <c r="E46" s="42">
        <v>5</v>
      </c>
      <c r="F46" s="6">
        <v>5</v>
      </c>
      <c r="G46" s="6">
        <v>5</v>
      </c>
      <c r="H46" s="6">
        <v>5</v>
      </c>
      <c r="I46" s="6">
        <v>5</v>
      </c>
      <c r="J46" s="6">
        <v>5</v>
      </c>
      <c r="K46" s="12">
        <f t="shared" si="0"/>
        <v>30</v>
      </c>
      <c r="L46" s="6"/>
    </row>
    <row r="52" spans="2:13" ht="39" x14ac:dyDescent="0.35">
      <c r="B52" s="47" t="s">
        <v>0</v>
      </c>
      <c r="C52" s="47" t="s">
        <v>1</v>
      </c>
      <c r="D52" s="47" t="s">
        <v>2</v>
      </c>
      <c r="E52" s="47" t="s">
        <v>3</v>
      </c>
      <c r="F52" s="47" t="s">
        <v>41</v>
      </c>
      <c r="G52" s="47" t="s">
        <v>4</v>
      </c>
    </row>
    <row r="53" spans="2:13" ht="26" x14ac:dyDescent="0.35">
      <c r="B53" s="49">
        <v>1</v>
      </c>
      <c r="C53" s="48" t="s">
        <v>12</v>
      </c>
      <c r="D53" s="48" t="s">
        <v>13</v>
      </c>
      <c r="E53" s="49">
        <v>29</v>
      </c>
      <c r="F53" s="49">
        <v>30</v>
      </c>
      <c r="G53" s="49">
        <v>30</v>
      </c>
    </row>
    <row r="54" spans="2:13" x14ac:dyDescent="0.35">
      <c r="B54" s="49">
        <v>2</v>
      </c>
      <c r="C54" s="48" t="s">
        <v>12</v>
      </c>
      <c r="D54" s="48" t="s">
        <v>14</v>
      </c>
      <c r="E54" s="49">
        <v>29</v>
      </c>
      <c r="F54" s="49">
        <v>30</v>
      </c>
      <c r="G54" s="49">
        <v>30</v>
      </c>
    </row>
    <row r="55" spans="2:13" ht="26" x14ac:dyDescent="0.35">
      <c r="B55" s="49">
        <v>3</v>
      </c>
      <c r="C55" s="48" t="s">
        <v>12</v>
      </c>
      <c r="D55" s="48" t="s">
        <v>15</v>
      </c>
      <c r="E55" s="49">
        <v>29</v>
      </c>
      <c r="F55" s="49">
        <v>30</v>
      </c>
      <c r="G55" s="49">
        <v>30</v>
      </c>
    </row>
    <row r="56" spans="2:13" ht="26" x14ac:dyDescent="0.35">
      <c r="B56" s="49">
        <v>4</v>
      </c>
      <c r="C56" s="48" t="s">
        <v>12</v>
      </c>
      <c r="D56" s="48" t="s">
        <v>16</v>
      </c>
      <c r="E56" s="49">
        <v>29</v>
      </c>
      <c r="F56" s="49">
        <v>30</v>
      </c>
      <c r="G56" s="49">
        <v>30</v>
      </c>
    </row>
    <row r="57" spans="2:13" ht="39" x14ac:dyDescent="0.35">
      <c r="B57" s="49">
        <v>5</v>
      </c>
      <c r="C57" s="48" t="s">
        <v>12</v>
      </c>
      <c r="D57" s="48" t="s">
        <v>17</v>
      </c>
      <c r="E57" s="49">
        <v>29</v>
      </c>
      <c r="F57" s="49">
        <v>30</v>
      </c>
      <c r="G57" s="49">
        <v>30</v>
      </c>
    </row>
    <row r="58" spans="2:13" ht="26" x14ac:dyDescent="0.35">
      <c r="B58" s="49">
        <v>6</v>
      </c>
      <c r="C58" s="48" t="s">
        <v>12</v>
      </c>
      <c r="D58" s="48" t="s">
        <v>18</v>
      </c>
      <c r="E58" s="49">
        <v>29</v>
      </c>
      <c r="F58" s="49">
        <v>30</v>
      </c>
      <c r="G58" s="49">
        <v>30</v>
      </c>
    </row>
    <row r="59" spans="2:13" ht="39" x14ac:dyDescent="0.35">
      <c r="B59" s="49">
        <v>7</v>
      </c>
      <c r="C59" s="48" t="s">
        <v>12</v>
      </c>
      <c r="D59" s="48" t="s">
        <v>19</v>
      </c>
      <c r="E59" s="49">
        <v>29</v>
      </c>
      <c r="F59" s="49">
        <v>30</v>
      </c>
      <c r="G59" s="49">
        <v>30</v>
      </c>
    </row>
    <row r="60" spans="2:13" ht="39" x14ac:dyDescent="0.35">
      <c r="B60" s="49">
        <v>8</v>
      </c>
      <c r="C60" s="48" t="s">
        <v>12</v>
      </c>
      <c r="D60" s="48" t="s">
        <v>20</v>
      </c>
      <c r="E60" s="49">
        <v>29</v>
      </c>
      <c r="F60" s="49">
        <v>30</v>
      </c>
      <c r="G60" s="49">
        <v>30</v>
      </c>
    </row>
    <row r="61" spans="2:13" ht="39" x14ac:dyDescent="0.35">
      <c r="B61" s="49">
        <v>9</v>
      </c>
      <c r="C61" s="48" t="s">
        <v>12</v>
      </c>
      <c r="D61" s="48" t="s">
        <v>21</v>
      </c>
      <c r="E61" s="49">
        <v>29</v>
      </c>
      <c r="F61" s="49">
        <v>30</v>
      </c>
      <c r="G61" s="49">
        <v>30</v>
      </c>
      <c r="J61" s="45" t="s">
        <v>31</v>
      </c>
      <c r="K61" s="46" t="s">
        <v>86</v>
      </c>
      <c r="L61" s="46" t="s">
        <v>87</v>
      </c>
      <c r="M61" s="46" t="s">
        <v>88</v>
      </c>
    </row>
    <row r="62" spans="2:13" ht="39" x14ac:dyDescent="0.35">
      <c r="B62" s="49">
        <v>10</v>
      </c>
      <c r="C62" s="48" t="s">
        <v>12</v>
      </c>
      <c r="D62" s="48" t="s">
        <v>22</v>
      </c>
      <c r="E62" s="49">
        <v>29</v>
      </c>
      <c r="F62" s="49">
        <v>30</v>
      </c>
      <c r="G62" s="49">
        <v>30</v>
      </c>
      <c r="J62" s="45" t="s">
        <v>3</v>
      </c>
      <c r="K62" s="47">
        <v>290</v>
      </c>
      <c r="L62" s="47">
        <v>300</v>
      </c>
      <c r="M62" s="47" t="s">
        <v>89</v>
      </c>
    </row>
    <row r="63" spans="2:13" ht="26" customHeight="1" x14ac:dyDescent="0.35">
      <c r="B63" s="49">
        <v>11</v>
      </c>
      <c r="C63" s="48" t="s">
        <v>6</v>
      </c>
      <c r="D63" s="48" t="s">
        <v>7</v>
      </c>
      <c r="E63" s="49">
        <v>29</v>
      </c>
      <c r="F63" s="49">
        <v>30</v>
      </c>
      <c r="G63" s="49">
        <v>30</v>
      </c>
      <c r="J63" s="45" t="s">
        <v>41</v>
      </c>
      <c r="K63" s="47">
        <v>300</v>
      </c>
      <c r="L63" s="47">
        <v>300</v>
      </c>
      <c r="M63" s="47" t="s">
        <v>90</v>
      </c>
    </row>
    <row r="64" spans="2:13" ht="39" customHeight="1" x14ac:dyDescent="0.35">
      <c r="B64" s="49">
        <v>12</v>
      </c>
      <c r="C64" s="48" t="s">
        <v>6</v>
      </c>
      <c r="D64" s="48" t="s">
        <v>8</v>
      </c>
      <c r="E64" s="49">
        <v>29</v>
      </c>
      <c r="F64" s="49">
        <v>30</v>
      </c>
      <c r="G64" s="49">
        <v>30</v>
      </c>
      <c r="J64" s="45" t="s">
        <v>4</v>
      </c>
      <c r="K64" s="47">
        <v>300</v>
      </c>
      <c r="L64" s="47">
        <v>300</v>
      </c>
      <c r="M64" s="47" t="s">
        <v>90</v>
      </c>
    </row>
    <row r="65" spans="2:19" ht="26" x14ac:dyDescent="0.35">
      <c r="B65" s="49">
        <v>13</v>
      </c>
      <c r="C65" s="48" t="s">
        <v>6</v>
      </c>
      <c r="D65" s="48" t="s">
        <v>9</v>
      </c>
      <c r="E65" s="49">
        <v>29</v>
      </c>
      <c r="F65" s="49">
        <v>30</v>
      </c>
      <c r="G65" s="49">
        <v>30</v>
      </c>
    </row>
    <row r="66" spans="2:19" ht="39" x14ac:dyDescent="0.35">
      <c r="B66" s="49">
        <v>14</v>
      </c>
      <c r="C66" s="48" t="s">
        <v>6</v>
      </c>
      <c r="D66" s="48" t="s">
        <v>10</v>
      </c>
      <c r="E66" s="49">
        <v>29</v>
      </c>
      <c r="F66" s="49">
        <v>30</v>
      </c>
      <c r="G66" s="49">
        <v>30</v>
      </c>
    </row>
    <row r="67" spans="2:19" ht="26" x14ac:dyDescent="0.35">
      <c r="B67" s="49">
        <v>15</v>
      </c>
      <c r="C67" s="48" t="s">
        <v>6</v>
      </c>
      <c r="D67" s="48" t="s">
        <v>11</v>
      </c>
      <c r="E67" s="49">
        <v>30</v>
      </c>
      <c r="F67" s="49">
        <v>30</v>
      </c>
      <c r="G67" s="49">
        <v>30</v>
      </c>
    </row>
    <row r="71" spans="2:19" ht="26" customHeight="1" x14ac:dyDescent="0.35">
      <c r="J71" s="47" t="s">
        <v>31</v>
      </c>
      <c r="K71" s="47" t="s">
        <v>91</v>
      </c>
      <c r="L71" s="47" t="s">
        <v>87</v>
      </c>
      <c r="M71" s="47" t="s">
        <v>88</v>
      </c>
      <c r="P71" s="50" t="s">
        <v>31</v>
      </c>
      <c r="Q71" s="50" t="s">
        <v>91</v>
      </c>
      <c r="R71" s="50" t="s">
        <v>87</v>
      </c>
      <c r="S71" s="50" t="s">
        <v>88</v>
      </c>
    </row>
    <row r="72" spans="2:19" ht="43.5" x14ac:dyDescent="0.35">
      <c r="J72" s="48" t="s">
        <v>3</v>
      </c>
      <c r="K72" s="49">
        <v>436</v>
      </c>
      <c r="L72" s="49">
        <v>450</v>
      </c>
      <c r="M72" s="49" t="s">
        <v>92</v>
      </c>
      <c r="P72" s="15" t="s">
        <v>3</v>
      </c>
      <c r="Q72" s="15">
        <v>436</v>
      </c>
      <c r="R72" s="15">
        <v>450</v>
      </c>
      <c r="S72" s="15" t="s">
        <v>92</v>
      </c>
    </row>
    <row r="73" spans="2:19" ht="29" x14ac:dyDescent="0.35">
      <c r="J73" s="48" t="s">
        <v>41</v>
      </c>
      <c r="K73" s="49">
        <v>450</v>
      </c>
      <c r="L73" s="49">
        <v>450</v>
      </c>
      <c r="M73" s="49" t="s">
        <v>90</v>
      </c>
      <c r="P73" s="15" t="s">
        <v>41</v>
      </c>
      <c r="Q73" s="15">
        <v>450</v>
      </c>
      <c r="R73" s="15">
        <v>450</v>
      </c>
      <c r="S73" s="15" t="s">
        <v>90</v>
      </c>
    </row>
    <row r="74" spans="2:19" ht="43.5" x14ac:dyDescent="0.35">
      <c r="J74" s="48" t="s">
        <v>4</v>
      </c>
      <c r="K74" s="49">
        <v>450</v>
      </c>
      <c r="L74" s="49">
        <v>450</v>
      </c>
      <c r="M74" s="49" t="s">
        <v>90</v>
      </c>
      <c r="P74" s="15" t="s">
        <v>4</v>
      </c>
      <c r="Q74" s="15">
        <v>450</v>
      </c>
      <c r="R74" s="15">
        <v>450</v>
      </c>
      <c r="S74" s="15" t="s">
        <v>90</v>
      </c>
    </row>
    <row r="81" spans="10:13" ht="26" x14ac:dyDescent="0.35">
      <c r="J81" s="47" t="s">
        <v>31</v>
      </c>
      <c r="K81" s="47" t="s">
        <v>86</v>
      </c>
      <c r="L81" s="47" t="s">
        <v>87</v>
      </c>
      <c r="M81" s="47" t="s">
        <v>88</v>
      </c>
    </row>
    <row r="82" spans="10:13" x14ac:dyDescent="0.35">
      <c r="J82" s="48" t="s">
        <v>3</v>
      </c>
      <c r="K82" s="49">
        <v>146</v>
      </c>
      <c r="L82" s="49">
        <v>150</v>
      </c>
      <c r="M82" s="49" t="s">
        <v>93</v>
      </c>
    </row>
    <row r="83" spans="10:13" x14ac:dyDescent="0.35">
      <c r="J83" s="48" t="s">
        <v>41</v>
      </c>
      <c r="K83" s="49">
        <v>150</v>
      </c>
      <c r="L83" s="49">
        <v>150</v>
      </c>
      <c r="M83" s="49" t="s">
        <v>90</v>
      </c>
    </row>
    <row r="84" spans="10:13" x14ac:dyDescent="0.35">
      <c r="J84" s="48" t="s">
        <v>4</v>
      </c>
      <c r="K84" s="49">
        <v>150</v>
      </c>
      <c r="L84" s="49">
        <v>150</v>
      </c>
      <c r="M84" s="49" t="s">
        <v>90</v>
      </c>
    </row>
    <row r="92" spans="10:13" x14ac:dyDescent="0.35">
      <c r="J92" s="5" t="s">
        <v>94</v>
      </c>
      <c r="K92" s="5" t="s">
        <v>95</v>
      </c>
      <c r="L92" s="5" t="s">
        <v>96</v>
      </c>
    </row>
    <row r="93" spans="10:13" ht="58" x14ac:dyDescent="0.35">
      <c r="J93" s="7" t="s">
        <v>97</v>
      </c>
      <c r="K93" s="7" t="s">
        <v>98</v>
      </c>
      <c r="L93" s="7" t="s">
        <v>99</v>
      </c>
    </row>
    <row r="94" spans="10:13" ht="72.5" x14ac:dyDescent="0.35">
      <c r="J94" s="7" t="s">
        <v>100</v>
      </c>
      <c r="K94" s="7" t="s">
        <v>101</v>
      </c>
      <c r="L94" s="7" t="s">
        <v>102</v>
      </c>
    </row>
    <row r="95" spans="10:13" ht="58" x14ac:dyDescent="0.35">
      <c r="J95" s="7" t="s">
        <v>103</v>
      </c>
      <c r="K95" s="7" t="s">
        <v>104</v>
      </c>
      <c r="L95" s="7" t="s">
        <v>105</v>
      </c>
    </row>
    <row r="96" spans="10:13" ht="72.5" x14ac:dyDescent="0.35">
      <c r="J96" s="7" t="s">
        <v>106</v>
      </c>
      <c r="K96" s="7" t="s">
        <v>107</v>
      </c>
      <c r="L96" s="7" t="s">
        <v>108</v>
      </c>
    </row>
  </sheetData>
  <mergeCells count="45">
    <mergeCell ref="A44:A46"/>
    <mergeCell ref="B44:B46"/>
    <mergeCell ref="C44:C46"/>
    <mergeCell ref="A38:A40"/>
    <mergeCell ref="B38:B40"/>
    <mergeCell ref="C38:C40"/>
    <mergeCell ref="A41:A43"/>
    <mergeCell ref="B41:B43"/>
    <mergeCell ref="C41:C43"/>
    <mergeCell ref="A32:A34"/>
    <mergeCell ref="B32:B34"/>
    <mergeCell ref="C32:C34"/>
    <mergeCell ref="A35:A37"/>
    <mergeCell ref="B35:B37"/>
    <mergeCell ref="C35:C37"/>
    <mergeCell ref="B2:B4"/>
    <mergeCell ref="C2:C4"/>
    <mergeCell ref="B5:B7"/>
    <mergeCell ref="C5:C7"/>
    <mergeCell ref="A2:A4"/>
    <mergeCell ref="A5:A7"/>
    <mergeCell ref="A8:A10"/>
    <mergeCell ref="B8:B10"/>
    <mergeCell ref="C8:C10"/>
    <mergeCell ref="A11:A13"/>
    <mergeCell ref="B11:B13"/>
    <mergeCell ref="C11:C13"/>
    <mergeCell ref="A14:A16"/>
    <mergeCell ref="B14:B16"/>
    <mergeCell ref="C14:C16"/>
    <mergeCell ref="A17:A19"/>
    <mergeCell ref="B17:B19"/>
    <mergeCell ref="C17:C19"/>
    <mergeCell ref="A20:A22"/>
    <mergeCell ref="B20:B22"/>
    <mergeCell ref="C20:C22"/>
    <mergeCell ref="A23:A25"/>
    <mergeCell ref="B23:B25"/>
    <mergeCell ref="C23:C25"/>
    <mergeCell ref="C26:C28"/>
    <mergeCell ref="A26:A28"/>
    <mergeCell ref="A29:A31"/>
    <mergeCell ref="B26:B28"/>
    <mergeCell ref="B29:B31"/>
    <mergeCell ref="C29:C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C707-DD66-4B79-BD94-052F97DBCA87}">
  <dimension ref="B3:F12"/>
  <sheetViews>
    <sheetView workbookViewId="0">
      <selection activeCell="C14" sqref="C14"/>
    </sheetView>
  </sheetViews>
  <sheetFormatPr baseColWidth="10" defaultRowHeight="14.5" x14ac:dyDescent="0.35"/>
  <cols>
    <col min="2" max="2" width="18.7265625" customWidth="1"/>
  </cols>
  <sheetData>
    <row r="3" spans="2:6" ht="23.5" x14ac:dyDescent="0.35">
      <c r="B3" s="1" t="s">
        <v>23</v>
      </c>
    </row>
    <row r="4" spans="2:6" x14ac:dyDescent="0.35">
      <c r="B4" s="2"/>
    </row>
    <row r="5" spans="2:6" x14ac:dyDescent="0.35">
      <c r="B5" s="3" t="s">
        <v>29</v>
      </c>
      <c r="C5" s="10"/>
    </row>
    <row r="6" spans="2:6" x14ac:dyDescent="0.35">
      <c r="B6" s="3" t="s">
        <v>24</v>
      </c>
      <c r="F6" s="4"/>
    </row>
    <row r="7" spans="2:6" x14ac:dyDescent="0.35">
      <c r="B7" s="3" t="s">
        <v>25</v>
      </c>
    </row>
    <row r="8" spans="2:6" x14ac:dyDescent="0.35">
      <c r="B8" s="3" t="s">
        <v>26</v>
      </c>
    </row>
    <row r="9" spans="2:6" x14ac:dyDescent="0.35">
      <c r="B9" s="3" t="s">
        <v>27</v>
      </c>
    </row>
    <row r="10" spans="2:6" x14ac:dyDescent="0.35">
      <c r="B10" s="3" t="s">
        <v>28</v>
      </c>
    </row>
    <row r="12" spans="2:6" x14ac:dyDescent="0.35">
      <c r="B12" s="44"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Respuesta</vt:lpstr>
      <vt:lpstr>Calificacion </vt:lpstr>
      <vt:lpstr>Puntajes por pregunta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lorena aragon payan</dc:creator>
  <cp:lastModifiedBy>claudia lorena aragon payan</cp:lastModifiedBy>
  <dcterms:created xsi:type="dcterms:W3CDTF">2026-05-12T06:07:38Z</dcterms:created>
  <dcterms:modified xsi:type="dcterms:W3CDTF">2026-05-17T08:00:05Z</dcterms:modified>
</cp:coreProperties>
</file>